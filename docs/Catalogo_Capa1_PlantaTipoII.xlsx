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Muros" sheetId="2" state="visible" r:id="rId4"/>
    <sheet name="Vanos" sheetId="3" state="visible" r:id="rId5"/>
    <sheet name="Rejillas_Fachada" sheetId="4" state="visible" r:id="rId6"/>
    <sheet name="Buitrones" sheetId="5" state="visible" r:id="rId7"/>
    <sheet name="Mobiliario_Fijo" sheetId="6" state="visible" r:id="rId8"/>
    <sheet name="Columnas" sheetId="7" state="visible" r:id="rId9"/>
  </sheets>
  <definedNames>
    <definedName function="false" hidden="true" localSheetId="4" name="_xlnm._FilterDatabase" vbProcedure="false">Buitrones!$A$2:$E$8</definedName>
    <definedName function="false" hidden="true" localSheetId="6" name="_xlnm._FilterDatabase" vbProcedure="false">Columnas!$A$2:$C$11</definedName>
    <definedName function="false" hidden="true" localSheetId="5" name="_xlnm._FilterDatabase" vbProcedure="false">Mobiliario_Fijo!$A$2:$G$10</definedName>
    <definedName function="false" hidden="true" localSheetId="1" name="_xlnm._FilterDatabase" vbProcedure="false">Muros!$A$2:$I$78</definedName>
    <definedName function="false" hidden="true" localSheetId="3" name="_xlnm._FilterDatabase" vbProcedure="false">Rejillas_Fachada!$A$2:$D$6</definedName>
    <definedName function="false" hidden="true" localSheetId="2" name="_xlnm._FilterDatabase" vbProcedure="false">Vanos!$A$2:$G$23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<sst xmlns="http://schemas.openxmlformats.org/spreadsheetml/2006/main" count="556" uniqueCount="217">
  <si>
    <t xml:space="preserve">CATÁLOGO DE ELEMENTOS - CAPA 1</t>
  </si>
  <si>
    <t xml:space="preserve">Cámara de Comercio de Pereira (CCP) — Levantamiento arquitectónico</t>
  </si>
  <si>
    <t xml:space="preserve">Plano base:</t>
  </si>
  <si>
    <t xml:space="preserve">levantamiento camara de coemrcio Pereira FERNANDO V1.dxf (Planta Tipo II)</t>
  </si>
  <si>
    <t xml:space="preserve">Aplica a:</t>
  </si>
  <si>
    <t xml:space="preserve">Pisos reales 15 y 16 del edificio (planta tipo repetida). NO aplica al Piso 5, que tiene una configuración distinta.</t>
  </si>
  <si>
    <t xml:space="preserve">Nomenclatura interna:</t>
  </si>
  <si>
    <t xml:space="preserve">OF501–OF506 = las 6 oficinas de la Planta Tipo II, en el orden en que fueron digitalizadas (no corresponden al número de piso real).</t>
  </si>
  <si>
    <t xml:space="preserve">Fecha:</t>
  </si>
  <si>
    <t xml:space="preserve">2026-09-13</t>
  </si>
  <si>
    <t xml:space="preserve">Elaboró:</t>
  </si>
  <si>
    <t xml:space="preserve">Alejandro Grajales Díaz (Ingeniero Civil) — asistido por Claude</t>
  </si>
  <si>
    <t xml:space="preserve">RESUMEN DE CANTIDADES</t>
  </si>
  <si>
    <t xml:space="preserve">Muros (M)</t>
  </si>
  <si>
    <t xml:space="preserve">Vanos - Ventanas (V)</t>
  </si>
  <si>
    <t xml:space="preserve">Vanos - Antepecho+Ventana (AV)</t>
  </si>
  <si>
    <t xml:space="preserve">Vanos - Muro Ventana Baño (MV)</t>
  </si>
  <si>
    <t xml:space="preserve">Rejillas de fachada (R)</t>
  </si>
  <si>
    <t xml:space="preserve">Buitrones interiores (BT)</t>
  </si>
  <si>
    <t xml:space="preserve">Mesones de cocineta (ME)</t>
  </si>
  <si>
    <t xml:space="preserve">Jardineras (JA)</t>
  </si>
  <si>
    <t xml:space="preserve">Columnas (C)</t>
  </si>
  <si>
    <t xml:space="preserve">CONVENCIONES DE COLOR</t>
  </si>
  <si>
    <t xml:space="preserve">■</t>
  </si>
  <si>
    <t xml:space="preserve">Dato confirmado / fijo (tomado del levantamiento o de la convención del plano)</t>
  </si>
  <si>
    <t xml:space="preserve">Campo PENDIENTE — el usuario debe diligenciarlo (medición en AutoCAD o en sitio)</t>
  </si>
  <si>
    <t xml:space="preserve">Elemento PENDIENTE DE LEVANTAMIENTO (Punto Fijo) — no se fabrica el dato, se define en visita posterior</t>
  </si>
  <si>
    <t xml:space="preserve">NOTAS METODOLÓGICAS</t>
  </si>
  <si>
    <t xml:space="preserve">Alturas estándar tomadas de la convención propia del plano (leyenda de Fernando): M = muro h 2.423 m · AV = antepecho 0.925 + ventana 1.50 m · V = ventana h 2.423 m · MV = muro ventana (baño) 2.025 + 0.40 m.</t>
  </si>
  <si>
    <t xml:space="preserve">Longitud y Espesor de cada muro/vano NO se incluyen como dato fabricado: se dejan en amarillo para diligenciar directamente en AutoCAD (comando LIST / DIST), evitando reportar una medición no verificada.</t>
  </si>
  <si>
    <t xml:space="preserve">Punto Fijo (M72, M74, M75, M76): muros de la escalera/núcleo de acceso cuya altura y vanos no han sido levantados. Se dejan marcados como PENDIENTE, sujetos a una visita de campo posterior (alcance definido explícitamente por el usuario).</t>
  </si>
  <si>
    <t xml:space="preserve">Buitrones (BT1-BT6): ductos interiores de ventilación/tubería asociados a los muros MV de cada baño. La cara interior del buitrón no se interviene (queda cerrada); la cara hacia la oficina (muro MV) se interviene según la patología encontrada en el diagnóstico.</t>
  </si>
  <si>
    <t xml:space="preserve">Rejillas de fachada (R1-R4) son un elemento DISTINTO de los buitrones: están ubicadas en las 4 esquinas del edificio, en la fachada, y corresponden a los volúmenes que se observan en las fotografías del reventón de ventana en fachada.</t>
  </si>
  <si>
    <t xml:space="preserve">MV3 y MV4 quedan ambos en el límite OF503/OF504 (junto al buitrón compartido BT3): se listan como 'OF503/OF504 (BT3 compartido)' porque la heurística geométrica no permite asignar con certeza cuál corresponde a cada oficina — verificar en AutoCAD/sitio antes de asignar de forma definitiva.</t>
  </si>
  <si>
    <t xml:space="preserve">MUROS (M) — Planta Tipo II</t>
  </si>
  <si>
    <t xml:space="preserve">ID</t>
  </si>
  <si>
    <t xml:space="preserve">Oficina / Zona</t>
  </si>
  <si>
    <t xml:space="preserve">Zona secundaria
(muro compartido)</t>
  </si>
  <si>
    <t xml:space="preserve">Tipo</t>
  </si>
  <si>
    <t xml:space="preserve">Altura (m)</t>
  </si>
  <si>
    <t xml:space="preserve">Longitud (m)</t>
  </si>
  <si>
    <t xml:space="preserve">Espesor (m)</t>
  </si>
  <si>
    <t xml:space="preserve">Observaciones</t>
  </si>
  <si>
    <t xml:space="preserve">Área (m²)</t>
  </si>
  <si>
    <t xml:space="preserve">M1</t>
  </si>
  <si>
    <t xml:space="preserve">NUCLEO COMUN (ascensores/escalera)</t>
  </si>
  <si>
    <t xml:space="preserve">Muro estándar (M)</t>
  </si>
  <si>
    <t xml:space="preserve">M2</t>
  </si>
  <si>
    <t xml:space="preserve">M3</t>
  </si>
  <si>
    <t xml:space="preserve">OF501</t>
  </si>
  <si>
    <t xml:space="preserve">OF502</t>
  </si>
  <si>
    <t xml:space="preserve">Muro divisorio entre oficinas.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</si>
  <si>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</si>
  <si>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</si>
  <si>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</si>
  <si>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</si>
  <si>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</si>
  <si>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</si>
  <si>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</si>
  <si>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</si>
  <si>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</si>
  <si>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</si>
  <si>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</si>
  <si>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</si>
  <si>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</si>
  <si>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</si>
  <si>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</si>
  <si>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</si>
  <si>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</si>
  <si>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</si>
  <si>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</si>
  <si>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OF503</t>
  </si>
  <si>
    <t xml:space="preserve">M23</t>
  </si>
  <si>
    <t xml:space="preserve">M24</t>
  </si>
  <si>
    <t xml:space="preserve">M25</t>
  </si>
  <si>
    <t xml:space="preserve">M26</t>
  </si>
  <si>
    <t xml:space="preserve">OF504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</si>
  <si>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</si>
  <si>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</si>
  <si>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</si>
  <si>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</si>
  <si>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</si>
  <si>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</si>
  <si>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</si>
  <si>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</si>
  <si>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</si>
  <si>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</si>
  <si>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</si>
  <si>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M38</t>
  </si>
  <si>
    <t xml:space="preserve">M39</t>
  </si>
  <si>
    <t xml:space="preserve">M40</t>
  </si>
  <si>
    <t xml:space="preserve">M41</t>
  </si>
  <si>
    <t xml:space="preserve">M42</t>
  </si>
  <si>
    <t xml:space="preserve">OF505</t>
  </si>
  <si>
    <t xml:space="preserve">M43</t>
  </si>
  <si>
    <t xml:space="preserve">M44</t>
  </si>
  <si>
    <t xml:space="preserve">M45</t>
  </si>
  <si>
    <t xml:space="preserve">M46</t>
  </si>
  <si>
    <t xml:space="preserve">M47</t>
  </si>
  <si>
    <t xml:space="preserve">M48</t>
  </si>
  <si>
    <t xml:space="preserve">M49</t>
  </si>
  <si>
    <t xml:space="preserve">M50</t>
  </si>
  <si>
    <t xml:space="preserve">OF506</t>
  </si>
  <si>
    <t xml:space="preserve">M51</t>
  </si>
  <si>
    <t xml:space="preserve">M52</t>
  </si>
  <si>
    <t xml:space="preserve">M53</t>
  </si>
  <si>
    <t xml:space="preserve">M54</t>
  </si>
  <si>
    <t xml:space="preserve">M55</t>
  </si>
  <si>
    <t xml:space="preserve">M56</t>
  </si>
  <si>
    <t xml:space="preserve">M57</t>
  </si>
  <si>
    <t xml:space="preserve">M58</t>
  </si>
  <si>
    <t xml:space="preserve">M59</t>
  </si>
  <si>
    <t xml:space="preserve">M60</t>
  </si>
  <si>
    <t xml:space="preserve">M61</t>
  </si>
  <si>
    <t xml:space="preserve">M62</t>
  </si>
  <si>
    <t xml:space="preserve">M63</t>
  </si>
  <si>
    <t xml:space="preserve">M64</t>
  </si>
  <si>
    <t xml:space="preserve">M65</t>
  </si>
  <si>
    <t xml:space="preserve">M66</t>
  </si>
  <si>
    <t xml:space="preserve">M67</t>
  </si>
  <si>
    <t xml:space="preserve">M68</t>
  </si>
  <si>
    <t xml:space="preserve">M69</t>
  </si>
  <si>
    <t xml:space="preserve">M70</t>
  </si>
  <si>
    <t xml:space="preserve">M71</t>
  </si>
  <si>
    <t xml:space="preserve">M72</t>
  </si>
  <si>
    <t xml:space="preserve">PUNTO FIJO</t>
  </si>
  <si>
    <t xml:space="preserve">PUNTO FIJO — PENDIENTE DE LEVANTAMIENTO</t>
  </si>
  <si>
    <t xml:space="preserve">Escalera/núcleo de acceso (punto fijo). Altura y vanos por definir en visita de campo posterior.</t>
  </si>
  <si>
    <t xml:space="preserve">M73</t>
  </si>
  <si>
    <t xml:space="preserve">M74</t>
  </si>
  <si>
    <t xml:space="preserve">M75</t>
  </si>
  <si>
    <t xml:space="preserve">M76</t>
  </si>
  <si>
    <t xml:space="preserve">VANOS — Ventanas, Antepechos y Muro-Ventana Baño</t>
  </si>
  <si>
    <t xml:space="preserve">Oficina</t>
  </si>
  <si>
    <t xml:space="preserve">Muro asociado
(más cercano)</t>
  </si>
  <si>
    <t xml:space="preserve">V1</t>
  </si>
  <si>
    <t xml:space="preserve">Ventana (V)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</si>
  <si>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</si>
  <si>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</si>
  <si>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</si>
  <si>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</si>
  <si>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</si>
  <si>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</si>
  <si>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</si>
  <si>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</si>
  <si>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AV1</t>
  </si>
  <si>
    <t xml:space="preserve">Antepecho+Ventana (AV)</t>
  </si>
  <si>
    <t xml:space="preserve">Antepecho 0.925 m + Ventana 1.50 m (h. total 2.425 m)</t>
  </si>
  <si>
    <t xml:space="preserve">AV2</t>
  </si>
  <si>
    <t xml:space="preserve">AV3</t>
  </si>
  <si>
    <t xml:space="preserve">AV4</t>
  </si>
  <si>
    <t xml:space="preserve">AV5</t>
  </si>
  <si>
    <t xml:space="preserve">AV6</t>
  </si>
  <si>
    <t xml:space="preserve">MV1</t>
  </si>
  <si>
    <t xml:space="preserve">Muro Ventana Baño (MV)</t>
  </si>
  <si>
    <t xml:space="preserve">Muro 2.025 m + Ventana 0.40 m (baño)</t>
  </si>
  <si>
    <t xml:space="preserve">MV2</t>
  </si>
  <si>
    <t xml:space="preserve">MV3</t>
  </si>
  <si>
    <t xml:space="preserve">OF503/OF504 (BT3 compartido — verificar cuál corresponde a cada oficina)</t>
  </si>
  <si>
    <t xml:space="preserve">MV4</t>
  </si>
  <si>
    <t xml:space="preserve">MV5</t>
  </si>
  <si>
    <t xml:space="preserve">MV6</t>
  </si>
  <si>
    <t xml:space="preserve">REJILLAS DE FACHADA (R) — Esquinas del edificio</t>
  </si>
  <si>
    <t xml:space="preserve">Ubicación</t>
  </si>
  <si>
    <t xml:space="preserve">Oficina cercana</t>
  </si>
  <si>
    <t xml:space="preserve">R1</t>
  </si>
  <si>
    <t xml:space="preserve">Esquina del edificio (fachada)</t>
  </si>
  <si>
    <t xml:space="preserve">Rejilla vertical de fachada en esquina del edificio — confirmada por fotografía (reventón de ventana en esquina) y verificada geométricamente en el levantamiento original y en el DXF de Fernando. Distinta de los buitrones interiores (BT).</t>
  </si>
  <si>
    <t xml:space="preserve">R2</t>
  </si>
  <si>
    <t xml:space="preserve">R3</t>
  </si>
  <si>
    <t xml:space="preserve">R4</t>
  </si>
  <si>
    <t xml:space="preserve">BUITRONES INTERIORES (BT) — Ductos de ventilación/tubería (asociados a muros MV)</t>
  </si>
  <si>
    <t xml:space="preserve">Oficina(s) que sirve</t>
  </si>
  <si>
    <t xml:space="preserve">Regla de intervención</t>
  </si>
  <si>
    <t xml:space="preserve">BT1</t>
  </si>
  <si>
    <t xml:space="preserve">Independiente</t>
  </si>
  <si>
    <t xml:space="preserve">Interior del buitrón: SIN INTERVENCIÓN (queda cerrado). Cara hacia la oficina (muro MV): acabado según patología encontrada en el diagnóstico.</t>
  </si>
  <si>
    <t xml:space="preserve">Confirmado por el usuario (levantamiento en campo).</t>
  </si>
  <si>
    <t xml:space="preserve">BT2</t>
  </si>
  <si>
    <t xml:space="preserve">BT3</t>
  </si>
  <si>
    <t xml:space="preserve">OF503 + OF504</t>
  </si>
  <si>
    <t xml:space="preserve">Compartido</t>
  </si>
  <si>
    <t xml:space="preserve">Único buitrón compartido entre dos oficinas — confirmado por el usuario.</t>
  </si>
  <si>
    <t xml:space="preserve">BT4</t>
  </si>
  <si>
    <t xml:space="preserve">BT5</t>
  </si>
  <si>
    <t xml:space="preserve">BT6</t>
  </si>
  <si>
    <t xml:space="preserve">Escalera / Núcleo (junto a OF506)</t>
  </si>
  <si>
    <t xml:space="preserve">Adicionado por el usuario directamente en AutoCAD, junto a la escalera, al lado de la oficina 6. Mismo patrón de ducto de ventilación de baño que BT1-BT5.</t>
  </si>
  <si>
    <t xml:space="preserve">MOBILIARIO FIJO — Mesones de cocineta y Jardineras</t>
  </si>
  <si>
    <t xml:space="preserve">Profundidad (m)</t>
  </si>
  <si>
    <t xml:space="preserve">ME1</t>
  </si>
  <si>
    <t xml:space="preserve">Mesón cocineta (ME)</t>
  </si>
  <si>
    <t xml:space="preserve">OF501 / OF502</t>
  </si>
  <si>
    <t xml:space="preserve">Profundidad fija 0.6 m; longitud variable — medir en AutoCAD/sitio.</t>
  </si>
  <si>
    <t xml:space="preserve">ME2</t>
  </si>
  <si>
    <t xml:space="preserve">OF502 / OF501</t>
  </si>
  <si>
    <t xml:space="preserve">ME3</t>
  </si>
  <si>
    <t xml:space="preserve">OF504 / OF503</t>
  </si>
  <si>
    <t xml:space="preserve">ME4</t>
  </si>
  <si>
    <t xml:space="preserve">ME5</t>
  </si>
  <si>
    <t xml:space="preserve">ME6</t>
  </si>
  <si>
    <t xml:space="preserve">JA1</t>
  </si>
  <si>
    <t xml:space="preserve">Jardinera (JA)</t>
  </si>
  <si>
    <t xml:space="preserve">Altura fija 0.70 m, ubicada en el descanso de la escalera. Longitud — medir en AutoCAD/sitio.</t>
  </si>
  <si>
    <t xml:space="preserve">JA2</t>
  </si>
  <si>
    <t xml:space="preserve">COLUMNAS (C) — Estructura</t>
  </si>
  <si>
    <t xml:space="preserve">C1</t>
  </si>
  <si>
    <t xml:space="preserve">Sección y refuerzo — sujeto a evaluación estructural independiente.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</si>
  <si>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</si>
  <si>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</si>
  <si>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</si>
  <si>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</si>
  <si>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</si>
  <si>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</si>
  <si>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</si>
  <si>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OF506 / OF505</t>
  </si>
  <si>
    <t xml:space="preserve">C9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</si>
</sst>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FFFF00"/>
      <name val="Arial"/>
      <family val="0"/>
      <charset val="1"/>
    </font>
    <font>
      <b val="true"/>
      <sz val="12"/>
      <color rgb="FFFFC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59595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55"/>
    <col collapsed="false" customWidth="true" hidden="false" outlineLevel="0" max="4" min="4" style="0" width="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s">
        <v>3</v>
      </c>
    </row>
    <row r="6" customFormat="false" ht="23.85" hidden="false" customHeight="false" outlineLevel="0" collapsed="false">
      <c r="B6" s="3" t="s">
        <v>4</v>
      </c>
      <c r="C6" s="5" t="s">
        <v>5</v>
      </c>
    </row>
    <row r="7" customFormat="false" ht="23.85" hidden="false" customHeight="false" outlineLevel="0" collapsed="false">
      <c r="B7" s="3" t="s">
        <v>6</v>
      </c>
      <c r="C7" s="5" t="s">
        <v>7</v>
      </c>
    </row>
    <row r="8" customFormat="false" ht="15" hidden="false" customHeight="false" outlineLevel="0" collapsed="false">
      <c r="B8" s="3" t="s">
        <v>8</v>
      </c>
      <c r="C8" s="4" t="s">
        <v>9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1" customFormat="false" ht="15" hidden="false" customHeight="false" outlineLevel="0" collapsed="false">
      <c r="B11" s="6" t="s">
        <v>12</v>
      </c>
      <c r="C11" s="6"/>
    </row>
    <row r="12" customFormat="false" ht="15" hidden="false" customHeight="false" outlineLevel="0" collapsed="false">
      <c r="B12" s="7" t="s">
        <v>13</v>
      </c>
      <c r="C12" s="8" t="n">
        <f aca="false">COUNTA(Muros!A3:A200)</f>
        <v>76</v>
      </c>
    </row>
    <row r="13" customFormat="false" ht="15" hidden="false" customHeight="false" outlineLevel="0" collapsed="false">
      <c r="B13" s="7" t="s">
        <v>14</v>
      </c>
      <c r="C13" s="8" t="n">
        <f aca="false">COUNTIF(Vanos!B3:B200,"Ventana (V)")</f>
        <v>9</v>
      </c>
    </row>
    <row r="14" customFormat="false" ht="15" hidden="false" customHeight="false" outlineLevel="0" collapsed="false">
      <c r="B14" s="7" t="s">
        <v>15</v>
      </c>
      <c r="C14" s="8" t="n">
        <f aca="false">COUNTIF(Vanos!B3:B200,"Antepecho+Ventana (AV)")</f>
        <v>6</v>
      </c>
    </row>
    <row r="15" customFormat="false" ht="15" hidden="false" customHeight="false" outlineLevel="0" collapsed="false">
      <c r="B15" s="7" t="s">
        <v>16</v>
      </c>
      <c r="C15" s="8" t="n">
        <f aca="false">COUNTIF(Vanos!B3:B200,"Muro Ventana Baño (MV)")</f>
        <v>6</v>
      </c>
    </row>
    <row r="16" customFormat="false" ht="15" hidden="false" customHeight="false" outlineLevel="0" collapsed="false">
      <c r="B16" s="7" t="s">
        <v>17</v>
      </c>
      <c r="C16" s="8" t="n">
        <f aca="false">COUNTA(Rejillas_Fachada!A3:A200)</f>
        <v>4</v>
      </c>
    </row>
    <row r="17" customFormat="false" ht="15" hidden="false" customHeight="false" outlineLevel="0" collapsed="false">
      <c r="B17" s="7" t="s">
        <v>18</v>
      </c>
      <c r="C17" s="8" t="n">
        <f aca="false">COUNTA(Buitrones!A3:A200)</f>
        <v>6</v>
      </c>
    </row>
    <row r="18" customFormat="false" ht="15" hidden="false" customHeight="false" outlineLevel="0" collapsed="false">
      <c r="B18" s="7" t="s">
        <v>19</v>
      </c>
      <c r="C18" s="8" t="n">
        <f aca="false">COUNTIF(Mobiliario_Fijo!B3:B200,"Mesón cocineta (ME)")</f>
        <v>6</v>
      </c>
    </row>
    <row r="19" customFormat="false" ht="15" hidden="false" customHeight="false" outlineLevel="0" collapsed="false">
      <c r="B19" s="7" t="s">
        <v>20</v>
      </c>
      <c r="C19" s="8" t="n">
        <f aca="false">COUNTIF(Mobiliario_Fijo!B3:B200,"Jardinera (JA)")</f>
        <v>2</v>
      </c>
    </row>
    <row r="20" customFormat="false" ht="15" hidden="false" customHeight="false" outlineLevel="0" collapsed="false">
      <c r="B20" s="7" t="s">
        <v>21</v>
      </c>
      <c r="C20" s="8" t="n">
        <f aca="false">COUNTA(Columnas!A3:A200)</f>
        <v>9</v>
      </c>
    </row>
    <row r="22" customFormat="false" ht="15" hidden="false" customHeight="false" outlineLevel="0" collapsed="false">
      <c r="B22" s="6" t="s">
        <v>22</v>
      </c>
      <c r="C22" s="6"/>
    </row>
    <row r="23" customFormat="false" ht="23.85" hidden="false" customHeight="false" outlineLevel="0" collapsed="false">
      <c r="B23" s="9" t="s">
        <v>23</v>
      </c>
      <c r="C23" s="5" t="s">
        <v>24</v>
      </c>
    </row>
    <row r="24" customFormat="false" ht="23.85" hidden="false" customHeight="false" outlineLevel="0" collapsed="false">
      <c r="B24" s="10" t="s">
        <v>23</v>
      </c>
      <c r="C24" s="5" t="s">
        <v>25</v>
      </c>
    </row>
    <row r="25" customFormat="false" ht="23.85" hidden="false" customHeight="false" outlineLevel="0" collapsed="false">
      <c r="B25" s="11" t="s">
        <v>23</v>
      </c>
      <c r="C25" s="5" t="s">
        <v>26</v>
      </c>
    </row>
    <row r="27" customFormat="false" ht="15" hidden="false" customHeight="false" outlineLevel="0" collapsed="false">
      <c r="B27" s="6" t="s">
        <v>27</v>
      </c>
      <c r="C27" s="6"/>
    </row>
    <row r="28" customFormat="false" ht="30" hidden="false" customHeight="true" outlineLevel="0" collapsed="false">
      <c r="B28" s="12" t="s">
        <v>28</v>
      </c>
      <c r="C28" s="12"/>
    </row>
    <row r="29" customFormat="false" ht="30" hidden="false" customHeight="true" outlineLevel="0" collapsed="false">
      <c r="B29" s="12" t="s">
        <v>29</v>
      </c>
      <c r="C29" s="12"/>
    </row>
    <row r="30" customFormat="false" ht="30" hidden="false" customHeight="true" outlineLevel="0" collapsed="false">
      <c r="B30" s="12" t="s">
        <v>30</v>
      </c>
      <c r="C30" s="12"/>
    </row>
    <row r="31" customFormat="false" ht="30" hidden="false" customHeight="true" outlineLevel="0" collapsed="false">
      <c r="B31" s="12" t="s">
        <v>31</v>
      </c>
      <c r="C31" s="12"/>
    </row>
    <row r="32" customFormat="false" ht="30" hidden="false" customHeight="true" outlineLevel="0" collapsed="false">
      <c r="B32" s="12" t="s">
        <v>32</v>
      </c>
      <c r="C32" s="12"/>
    </row>
    <row r="33" customFormat="false" ht="30" hidden="false" customHeight="true" outlineLevel="0" collapsed="false">
      <c r="B33" s="12" t="s">
        <v>33</v>
      </c>
      <c r="C33" s="12"/>
    </row>
  </sheetData>
  <mergeCells count="9">
    <mergeCell ref="B11:C11"/>
    <mergeCell ref="B22:C22"/>
    <mergeCell ref="B27:C27"/>
    <mergeCell ref="B28:C28"/>
    <mergeCell ref="B29:C29"/>
    <mergeCell ref="B30:C30"/>
    <mergeCell ref="B31:C31"/>
    <mergeCell ref="B32:C32"/>
    <mergeCell ref="B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40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3" t="s">
        <v>34</v>
      </c>
      <c r="B1" s="13"/>
      <c r="C1" s="13"/>
      <c r="D1" s="13"/>
      <c r="E1" s="13"/>
      <c r="F1" s="13"/>
      <c r="G1" s="13"/>
      <c r="H1" s="13"/>
    </row>
    <row r="2" customFormat="false" ht="30" hidden="false" customHeight="true" outlineLevel="0" collapsed="false">
      <c r="A2" s="14" t="s">
        <v>35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43</v>
      </c>
    </row>
    <row r="3" customFormat="false" ht="23.85" hidden="false" customHeight="false" outlineLevel="0" collapsed="false">
      <c r="A3" s="15" t="s">
        <v>44</v>
      </c>
      <c r="B3" s="15" t="s">
        <v>45</v>
      </c>
      <c r="C3" s="15"/>
      <c r="D3" s="16" t="s">
        <v>46</v>
      </c>
      <c r="E3" s="17" t="n">
        <v>2.423</v>
      </c>
      <c r="F3" s="18"/>
      <c r="G3" s="18"/>
      <c r="H3" s="16"/>
      <c r="I3" s="7" t="str">
        <f aca="false">IF(AND(F3&lt;&gt;"",G3&lt;&gt;""),F3*G3,"")</f>
        <v/>
      </c>
    </row>
    <row r="4" customFormat="false" ht="23.85" hidden="false" customHeight="false" outlineLevel="0" collapsed="false">
      <c r="A4" s="15" t="s">
        <v>47</v>
      </c>
      <c r="B4" s="15" t="s">
        <v>45</v>
      </c>
      <c r="C4" s="15"/>
      <c r="D4" s="16" t="s">
        <v>46</v>
      </c>
      <c r="E4" s="17" t="n">
        <v>2.423</v>
      </c>
      <c r="F4" s="18"/>
      <c r="G4" s="18"/>
      <c r="H4" s="16"/>
      <c r="I4" s="7" t="str">
        <f aca="false">IF(AND(F4&lt;&gt;"",G4&lt;&gt;""),F4*G4,"")</f>
        <v/>
      </c>
    </row>
    <row r="5" customFormat="false" ht="23.85" hidden="false" customHeight="false" outlineLevel="0" collapsed="false">
      <c r="A5" s="15" t="s">
        <v>48</v>
      </c>
      <c r="B5" s="15" t="s">
        <v>49</v>
      </c>
      <c r="C5" s="15" t="s">
        <v>50</v>
      </c>
      <c r="D5" s="16" t="s">
        <v>46</v>
      </c>
      <c r="E5" s="17" t="n">
        <v>2.423</v>
      </c>
      <c r="F5" s="18"/>
      <c r="G5" s="18"/>
      <c r="H5" s="16" t="s">
        <v>51</v>
      </c>
      <c r="I5" s="7" t="str">
        <f aca="false">IF(AND(F5&lt;&gt;"",G5&lt;&gt;""),F5*G5,"")</f>
        <v/>
      </c>
    </row>
    <row r="6" customFormat="false" ht="23.85" hidden="false" customHeight="false" outlineLevel="0" collapsed="false">
      <c r="A6" s="15" t="s">
        <v>52</v>
      </c>
      <c r="B6" s="15" t="s">
        <v>49</v>
      </c>
      <c r="C6" s="15" t="s">
        <v>50</v>
      </c>
      <c r="D6" s="16" t="s">
        <v>46</v>
      </c>
      <c r="E6" s="17" t="n">
        <v>2.423</v>
      </c>
      <c r="F6" s="18"/>
      <c r="G6" s="18"/>
      <c r="H6" s="16" t="s">
        <v>51</v>
      </c>
      <c r="I6" s="7" t="str">
        <f aca="false">IF(AND(F6&lt;&gt;"",G6&lt;&gt;""),F6*G6,"")</f>
        <v/>
      </c>
    </row>
    <row r="7" customFormat="false" ht="23.85" hidden="false" customHeight="false" outlineLevel="0" collapsed="false">
      <c r="A7" s="15" t="s">
        <v>53</v>
      </c>
      <c r="B7" s="15" t="s">
        <v>50</v>
      </c>
      <c r="C7" s="15" t="s">
        <v>49</v>
      </c>
      <c r="D7" s="16" t="s">
        <v>46</v>
      </c>
      <c r="E7" s="17" t="n">
        <v>2.423</v>
      </c>
      <c r="F7" s="18"/>
      <c r="G7" s="18"/>
      <c r="H7" s="16" t="s">
        <v>51</v>
      </c>
      <c r="I7" s="7" t="str">
        <f aca="false">IF(AND(F7&lt;&gt;"",G7&lt;&gt;""),F7*G7,"")</f>
        <v/>
      </c>
    </row>
    <row r="8" customFormat="false" ht="23.85" hidden="false" customHeight="false" outlineLevel="0" collapsed="false">
      <c r="A8" s="15" t="s">
        <v>54</v>
      </c>
      <c r="B8" s="15" t="s">
        <v>50</v>
      </c>
      <c r="C8" s="15" t="s">
        <v>49</v>
      </c>
      <c r="D8" s="16" t="s">
        <v>46</v>
      </c>
      <c r="E8" s="17" t="n">
        <v>2.423</v>
      </c>
      <c r="F8" s="18"/>
      <c r="G8" s="18"/>
      <c r="H8" s="16" t="s">
        <v>51</v>
      </c>
      <c r="I8" s="7" t="str">
        <f aca="false">IF(AND(F8&lt;&gt;"",G8&lt;&gt;""),F8*G8,"")</f>
        <v/>
      </c>
    </row>
    <row r="9" customFormat="false" ht="23.85" hidden="false" customHeight="false" outlineLevel="0" collapsed="false">
      <c r="A9" s="15" t="s">
        <v>55</v>
      </c>
      <c r="B9" s="15" t="s">
        <v>49</v>
      </c>
      <c r="C9" s="15" t="s">
        <v>50</v>
      </c>
      <c r="D9" s="16" t="s">
        <v>46</v>
      </c>
      <c r="E9" s="17" t="n">
        <v>2.423</v>
      </c>
      <c r="F9" s="18"/>
      <c r="G9" s="18"/>
      <c r="H9" s="16" t="s">
        <v>51</v>
      </c>
      <c r="I9" s="7" t="str">
        <f aca="false">IF(AND(F9&lt;&gt;"",G9&lt;&gt;""),F9*G9,"")</f>
        <v/>
      </c>
    </row>
    <row r="10" customFormat="false" ht="23.85" hidden="false" customHeight="false" outlineLevel="0" collapsed="false">
      <c r="A10" s="15" t="s">
        <v>56</v>
      </c>
      <c r="B10" s="15" t="s">
        <v>49</v>
      </c>
      <c r="C10" s="15"/>
      <c r="D10" s="16" t="s">
        <v>46</v>
      </c>
      <c r="E10" s="17" t="n">
        <v>2.423</v>
      </c>
      <c r="F10" s="18"/>
      <c r="G10" s="18"/>
      <c r="H10" s="16"/>
      <c r="I10" s="7" t="str">
        <f aca="false">IF(AND(F10&lt;&gt;"",G10&lt;&gt;""),F10*G10,"")</f>
        <v/>
      </c>
    </row>
    <row r="11" customFormat="false" ht="23.85" hidden="false" customHeight="false" outlineLevel="0" collapsed="false">
      <c r="A11" s="15" t="s">
        <v>57</v>
      </c>
      <c r="B11" s="15" t="s">
        <v>49</v>
      </c>
      <c r="C11" s="15"/>
      <c r="D11" s="16" t="s">
        <v>46</v>
      </c>
      <c r="E11" s="17" t="n">
        <v>2.423</v>
      </c>
      <c r="F11" s="18"/>
      <c r="G11" s="18"/>
      <c r="H11" s="16"/>
      <c r="I11" s="7" t="str">
        <f aca="false">IF(AND(F11&lt;&gt;"",G11&lt;&gt;""),F11*G11,"")</f>
        <v/>
      </c>
    </row>
    <row r="12" customFormat="false" ht="23.85" hidden="false" customHeight="false" outlineLevel="0" collapsed="false">
      <c r="A12" s="15" t="s">
        <v>58</v>
      </c>
      <c r="B12" s="15" t="s">
        <v>50</v>
      </c>
      <c r="C12" s="15" t="s">
        <v>49</v>
      </c>
      <c r="D12" s="16" t="s">
        <v>46</v>
      </c>
      <c r="E12" s="17" t="n">
        <v>2.423</v>
      </c>
      <c r="F12" s="18"/>
      <c r="G12" s="18"/>
      <c r="H12" s="16" t="s">
        <v>51</v>
      </c>
      <c r="I12" s="7" t="str">
        <f aca="false">IF(AND(F12&lt;&gt;"",G12&lt;&gt;""),F12*G12,"")</f>
        <v/>
      </c>
    </row>
    <row r="13" customFormat="false" ht="23.85" hidden="false" customHeight="false" outlineLevel="0" collapsed="false">
      <c r="A13" s="15" t="s">
        <v>59</v>
      </c>
      <c r="B13" s="15" t="s">
        <v>49</v>
      </c>
      <c r="C13" s="15"/>
      <c r="D13" s="16" t="s">
        <v>46</v>
      </c>
      <c r="E13" s="17" t="n">
        <v>2.423</v>
      </c>
      <c r="F13" s="18"/>
      <c r="G13" s="18"/>
      <c r="H13" s="16"/>
      <c r="I13" s="7" t="str">
        <f aca="false">IF(AND(F13&lt;&gt;"",G13&lt;&gt;""),F13*G13,"")</f>
        <v/>
      </c>
    </row>
    <row r="14" customFormat="false" ht="23.85" hidden="false" customHeight="false" outlineLevel="0" collapsed="false">
      <c r="A14" s="15" t="s">
        <v>60</v>
      </c>
      <c r="B14" s="15" t="s">
        <v>49</v>
      </c>
      <c r="C14" s="15"/>
      <c r="D14" s="16" t="s">
        <v>46</v>
      </c>
      <c r="E14" s="17" t="n">
        <v>2.423</v>
      </c>
      <c r="F14" s="18"/>
      <c r="G14" s="18"/>
      <c r="H14" s="16"/>
      <c r="I14" s="7" t="str">
        <f aca="false">IF(AND(F14&lt;&gt;"",G14&lt;&gt;""),F14*G14,"")</f>
        <v/>
      </c>
    </row>
    <row r="15" customFormat="false" ht="23.85" hidden="false" customHeight="false" outlineLevel="0" collapsed="false">
      <c r="A15" s="15" t="s">
        <v>61</v>
      </c>
      <c r="B15" s="15" t="s">
        <v>49</v>
      </c>
      <c r="C15" s="15"/>
      <c r="D15" s="16" t="s">
        <v>46</v>
      </c>
      <c r="E15" s="17" t="n">
        <v>2.423</v>
      </c>
      <c r="F15" s="18"/>
      <c r="G15" s="18"/>
      <c r="H15" s="16"/>
      <c r="I15" s="7" t="str">
        <f aca="false">IF(AND(F15&lt;&gt;"",G15&lt;&gt;""),F15*G15,"")</f>
        <v/>
      </c>
    </row>
    <row r="16" customFormat="false" ht="23.85" hidden="false" customHeight="false" outlineLevel="0" collapsed="false">
      <c r="A16" s="15" t="s">
        <v>62</v>
      </c>
      <c r="B16" s="15" t="s">
        <v>45</v>
      </c>
      <c r="C16" s="15"/>
      <c r="D16" s="16" t="s">
        <v>46</v>
      </c>
      <c r="E16" s="17" t="n">
        <v>2.423</v>
      </c>
      <c r="F16" s="18"/>
      <c r="G16" s="18"/>
      <c r="H16" s="16"/>
      <c r="I16" s="7" t="str">
        <f aca="false">IF(AND(F16&lt;&gt;"",G16&lt;&gt;""),F16*G16,"")</f>
        <v/>
      </c>
    </row>
    <row r="17" customFormat="false" ht="23.85" hidden="false" customHeight="false" outlineLevel="0" collapsed="false">
      <c r="A17" s="15" t="s">
        <v>63</v>
      </c>
      <c r="B17" s="15" t="s">
        <v>50</v>
      </c>
      <c r="C17" s="15"/>
      <c r="D17" s="16" t="s">
        <v>46</v>
      </c>
      <c r="E17" s="17" t="n">
        <v>2.423</v>
      </c>
      <c r="F17" s="18"/>
      <c r="G17" s="18"/>
      <c r="H17" s="16"/>
      <c r="I17" s="7" t="str">
        <f aca="false">IF(AND(F17&lt;&gt;"",G17&lt;&gt;""),F17*G17,"")</f>
        <v/>
      </c>
    </row>
    <row r="18" customFormat="false" ht="23.85" hidden="false" customHeight="false" outlineLevel="0" collapsed="false">
      <c r="A18" s="15" t="s">
        <v>64</v>
      </c>
      <c r="B18" s="15" t="s">
        <v>50</v>
      </c>
      <c r="C18" s="15"/>
      <c r="D18" s="16" t="s">
        <v>46</v>
      </c>
      <c r="E18" s="17" t="n">
        <v>2.423</v>
      </c>
      <c r="F18" s="18"/>
      <c r="G18" s="18"/>
      <c r="H18" s="16"/>
      <c r="I18" s="7" t="str">
        <f aca="false">IF(AND(F18&lt;&gt;"",G18&lt;&gt;""),F18*G18,"")</f>
        <v/>
      </c>
    </row>
    <row r="19" customFormat="false" ht="23.85" hidden="false" customHeight="false" outlineLevel="0" collapsed="false">
      <c r="A19" s="15" t="s">
        <v>65</v>
      </c>
      <c r="B19" s="15" t="s">
        <v>50</v>
      </c>
      <c r="C19" s="15"/>
      <c r="D19" s="16" t="s">
        <v>46</v>
      </c>
      <c r="E19" s="17" t="n">
        <v>2.423</v>
      </c>
      <c r="F19" s="18"/>
      <c r="G19" s="18"/>
      <c r="H19" s="16"/>
      <c r="I19" s="7" t="str">
        <f aca="false">IF(AND(F19&lt;&gt;"",G19&lt;&gt;""),F19*G19,"")</f>
        <v/>
      </c>
    </row>
    <row r="20" customFormat="false" ht="23.85" hidden="false" customHeight="false" outlineLevel="0" collapsed="false">
      <c r="A20" s="15" t="s">
        <v>66</v>
      </c>
      <c r="B20" s="15" t="s">
        <v>50</v>
      </c>
      <c r="C20" s="15"/>
      <c r="D20" s="16" t="s">
        <v>46</v>
      </c>
      <c r="E20" s="17" t="n">
        <v>2.423</v>
      </c>
      <c r="F20" s="18"/>
      <c r="G20" s="18"/>
      <c r="H20" s="16"/>
      <c r="I20" s="7" t="str">
        <f aca="false">IF(AND(F20&lt;&gt;"",G20&lt;&gt;""),F20*G20,"")</f>
        <v/>
      </c>
    </row>
    <row r="21" customFormat="false" ht="23.85" hidden="false" customHeight="false" outlineLevel="0" collapsed="false">
      <c r="A21" s="15" t="s">
        <v>67</v>
      </c>
      <c r="B21" s="15" t="s">
        <v>50</v>
      </c>
      <c r="C21" s="15"/>
      <c r="D21" s="16" t="s">
        <v>46</v>
      </c>
      <c r="E21" s="17" t="n">
        <v>2.423</v>
      </c>
      <c r="F21" s="18"/>
      <c r="G21" s="18"/>
      <c r="H21" s="16"/>
      <c r="I21" s="7" t="str">
        <f aca="false">IF(AND(F21&lt;&gt;"",G21&lt;&gt;""),F21*G21,"")</f>
        <v/>
      </c>
    </row>
    <row r="22" customFormat="false" ht="23.85" hidden="false" customHeight="false" outlineLevel="0" collapsed="false">
      <c r="A22" s="15" t="s">
        <v>68</v>
      </c>
      <c r="B22" s="15" t="s">
        <v>50</v>
      </c>
      <c r="C22" s="15"/>
      <c r="D22" s="16" t="s">
        <v>46</v>
      </c>
      <c r="E22" s="17" t="n">
        <v>2.423</v>
      </c>
      <c r="F22" s="18"/>
      <c r="G22" s="18"/>
      <c r="H22" s="16"/>
      <c r="I22" s="7" t="str">
        <f aca="false">IF(AND(F22&lt;&gt;"",G22&lt;&gt;""),F22*G22,"")</f>
        <v/>
      </c>
    </row>
    <row r="23" customFormat="false" ht="23.85" hidden="false" customHeight="false" outlineLevel="0" collapsed="false">
      <c r="A23" s="15" t="s">
        <v>69</v>
      </c>
      <c r="B23" s="15" t="s">
        <v>50</v>
      </c>
      <c r="C23" s="15"/>
      <c r="D23" s="16" t="s">
        <v>46</v>
      </c>
      <c r="E23" s="17" t="n">
        <v>2.423</v>
      </c>
      <c r="F23" s="18"/>
      <c r="G23" s="18"/>
      <c r="H23" s="16"/>
      <c r="I23" s="7" t="str">
        <f aca="false">IF(AND(F23&lt;&gt;"",G23&lt;&gt;""),F23*G23,"")</f>
        <v/>
      </c>
    </row>
    <row r="24" customFormat="false" ht="23.85" hidden="false" customHeight="false" outlineLevel="0" collapsed="false">
      <c r="A24" s="15" t="s">
        <v>70</v>
      </c>
      <c r="B24" s="15" t="s">
        <v>71</v>
      </c>
      <c r="C24" s="15" t="s">
        <v>50</v>
      </c>
      <c r="D24" s="16" t="s">
        <v>46</v>
      </c>
      <c r="E24" s="17" t="n">
        <v>2.423</v>
      </c>
      <c r="F24" s="18"/>
      <c r="G24" s="18"/>
      <c r="H24" s="16" t="s">
        <v>51</v>
      </c>
      <c r="I24" s="7" t="str">
        <f aca="false">IF(AND(F24&lt;&gt;"",G24&lt;&gt;""),F24*G24,"")</f>
        <v/>
      </c>
    </row>
    <row r="25" customFormat="false" ht="23.85" hidden="false" customHeight="false" outlineLevel="0" collapsed="false">
      <c r="A25" s="15" t="s">
        <v>72</v>
      </c>
      <c r="B25" s="15" t="s">
        <v>71</v>
      </c>
      <c r="C25" s="15" t="s">
        <v>50</v>
      </c>
      <c r="D25" s="16" t="s">
        <v>46</v>
      </c>
      <c r="E25" s="17" t="n">
        <v>2.423</v>
      </c>
      <c r="F25" s="18"/>
      <c r="G25" s="18"/>
      <c r="H25" s="16" t="s">
        <v>51</v>
      </c>
      <c r="I25" s="7" t="str">
        <f aca="false">IF(AND(F25&lt;&gt;"",G25&lt;&gt;""),F25*G25,"")</f>
        <v/>
      </c>
    </row>
    <row r="26" customFormat="false" ht="23.85" hidden="false" customHeight="false" outlineLevel="0" collapsed="false">
      <c r="A26" s="15" t="s">
        <v>73</v>
      </c>
      <c r="B26" s="15" t="s">
        <v>71</v>
      </c>
      <c r="C26" s="15"/>
      <c r="D26" s="16" t="s">
        <v>46</v>
      </c>
      <c r="E26" s="17" t="n">
        <v>2.423</v>
      </c>
      <c r="F26" s="18"/>
      <c r="G26" s="18"/>
      <c r="H26" s="16"/>
      <c r="I26" s="7" t="str">
        <f aca="false">IF(AND(F26&lt;&gt;"",G26&lt;&gt;""),F26*G26,"")</f>
        <v/>
      </c>
    </row>
    <row r="27" customFormat="false" ht="23.85" hidden="false" customHeight="false" outlineLevel="0" collapsed="false">
      <c r="A27" s="15" t="s">
        <v>74</v>
      </c>
      <c r="B27" s="15" t="s">
        <v>71</v>
      </c>
      <c r="C27" s="15"/>
      <c r="D27" s="16" t="s">
        <v>46</v>
      </c>
      <c r="E27" s="17" t="n">
        <v>2.423</v>
      </c>
      <c r="F27" s="18"/>
      <c r="G27" s="18"/>
      <c r="H27" s="16"/>
      <c r="I27" s="7" t="str">
        <f aca="false">IF(AND(F27&lt;&gt;"",G27&lt;&gt;""),F27*G27,"")</f>
        <v/>
      </c>
    </row>
    <row r="28" customFormat="false" ht="23.85" hidden="false" customHeight="false" outlineLevel="0" collapsed="false">
      <c r="A28" s="15" t="s">
        <v>75</v>
      </c>
      <c r="B28" s="15" t="s">
        <v>71</v>
      </c>
      <c r="C28" s="15" t="s">
        <v>76</v>
      </c>
      <c r="D28" s="16" t="s">
        <v>46</v>
      </c>
      <c r="E28" s="17" t="n">
        <v>2.423</v>
      </c>
      <c r="F28" s="18"/>
      <c r="G28" s="18"/>
      <c r="H28" s="16" t="s">
        <v>51</v>
      </c>
      <c r="I28" s="7" t="str">
        <f aca="false">IF(AND(F28&lt;&gt;"",G28&lt;&gt;""),F28*G28,"")</f>
        <v/>
      </c>
    </row>
    <row r="29" customFormat="false" ht="23.85" hidden="false" customHeight="false" outlineLevel="0" collapsed="false">
      <c r="A29" s="15" t="s">
        <v>77</v>
      </c>
      <c r="B29" s="15" t="s">
        <v>76</v>
      </c>
      <c r="C29" s="15"/>
      <c r="D29" s="16" t="s">
        <v>46</v>
      </c>
      <c r="E29" s="17" t="n">
        <v>2.423</v>
      </c>
      <c r="F29" s="18"/>
      <c r="G29" s="18"/>
      <c r="H29" s="16"/>
      <c r="I29" s="7" t="str">
        <f aca="false">IF(AND(F29&lt;&gt;"",G29&lt;&gt;""),F29*G29,"")</f>
        <v/>
      </c>
    </row>
    <row r="30" customFormat="false" ht="23.85" hidden="false" customHeight="false" outlineLevel="0" collapsed="false">
      <c r="A30" s="15" t="s">
        <v>78</v>
      </c>
      <c r="B30" s="15" t="s">
        <v>71</v>
      </c>
      <c r="C30" s="15" t="s">
        <v>76</v>
      </c>
      <c r="D30" s="16" t="s">
        <v>46</v>
      </c>
      <c r="E30" s="17" t="n">
        <v>2.423</v>
      </c>
      <c r="F30" s="18"/>
      <c r="G30" s="18"/>
      <c r="H30" s="16" t="s">
        <v>51</v>
      </c>
      <c r="I30" s="7" t="str">
        <f aca="false">IF(AND(F30&lt;&gt;"",G30&lt;&gt;""),F30*G30,"")</f>
        <v/>
      </c>
    </row>
    <row r="31" customFormat="false" ht="23.85" hidden="false" customHeight="false" outlineLevel="0" collapsed="false">
      <c r="A31" s="15" t="s">
        <v>79</v>
      </c>
      <c r="B31" s="15" t="s">
        <v>76</v>
      </c>
      <c r="C31" s="15" t="s">
        <v>71</v>
      </c>
      <c r="D31" s="16" t="s">
        <v>46</v>
      </c>
      <c r="E31" s="17" t="n">
        <v>2.423</v>
      </c>
      <c r="F31" s="18"/>
      <c r="G31" s="18"/>
      <c r="H31" s="16" t="s">
        <v>51</v>
      </c>
      <c r="I31" s="7" t="str">
        <f aca="false">IF(AND(F31&lt;&gt;"",G31&lt;&gt;""),F31*G31,"")</f>
        <v/>
      </c>
    </row>
    <row r="32" customFormat="false" ht="23.85" hidden="false" customHeight="false" outlineLevel="0" collapsed="false">
      <c r="A32" s="15" t="s">
        <v>80</v>
      </c>
      <c r="B32" s="15" t="s">
        <v>71</v>
      </c>
      <c r="C32" s="15" t="s">
        <v>76</v>
      </c>
      <c r="D32" s="16" t="s">
        <v>46</v>
      </c>
      <c r="E32" s="17" t="n">
        <v>2.423</v>
      </c>
      <c r="F32" s="18"/>
      <c r="G32" s="18"/>
      <c r="H32" s="16" t="s">
        <v>51</v>
      </c>
      <c r="I32" s="7" t="str">
        <f aca="false">IF(AND(F32&lt;&gt;"",G32&lt;&gt;""),F32*G32,"")</f>
        <v/>
      </c>
    </row>
    <row r="33" customFormat="false" ht="23.85" hidden="false" customHeight="false" outlineLevel="0" collapsed="false">
      <c r="A33" s="15" t="s">
        <v>81</v>
      </c>
      <c r="B33" s="15" t="s">
        <v>71</v>
      </c>
      <c r="C33" s="15"/>
      <c r="D33" s="16" t="s">
        <v>46</v>
      </c>
      <c r="E33" s="17" t="n">
        <v>2.423</v>
      </c>
      <c r="F33" s="18"/>
      <c r="G33" s="18"/>
      <c r="H33" s="16"/>
      <c r="I33" s="7" t="str">
        <f aca="false">IF(AND(F33&lt;&gt;"",G33&lt;&gt;""),F33*G33,"")</f>
        <v/>
      </c>
    </row>
    <row r="34" customFormat="false" ht="23.85" hidden="false" customHeight="false" outlineLevel="0" collapsed="false">
      <c r="A34" s="15" t="s">
        <v>82</v>
      </c>
      <c r="B34" s="15" t="s">
        <v>71</v>
      </c>
      <c r="C34" s="15"/>
      <c r="D34" s="16" t="s">
        <v>46</v>
      </c>
      <c r="E34" s="17" t="n">
        <v>2.423</v>
      </c>
      <c r="F34" s="18"/>
      <c r="G34" s="18"/>
      <c r="H34" s="16"/>
      <c r="I34" s="7" t="str">
        <f aca="false">IF(AND(F34&lt;&gt;"",G34&lt;&gt;""),F34*G34,"")</f>
        <v/>
      </c>
    </row>
    <row r="35" customFormat="false" ht="23.85" hidden="false" customHeight="false" outlineLevel="0" collapsed="false">
      <c r="A35" s="15" t="s">
        <v>83</v>
      </c>
      <c r="B35" s="15" t="s">
        <v>71</v>
      </c>
      <c r="C35" s="15"/>
      <c r="D35" s="16" t="s">
        <v>46</v>
      </c>
      <c r="E35" s="17" t="n">
        <v>2.423</v>
      </c>
      <c r="F35" s="18"/>
      <c r="G35" s="18"/>
      <c r="H35" s="16"/>
      <c r="I35" s="7" t="str">
        <f aca="false">IF(AND(F35&lt;&gt;"",G35&lt;&gt;""),F35*G35,"")</f>
        <v/>
      </c>
    </row>
    <row r="36" customFormat="false" ht="23.85" hidden="false" customHeight="false" outlineLevel="0" collapsed="false">
      <c r="A36" s="15" t="s">
        <v>84</v>
      </c>
      <c r="B36" s="15" t="s">
        <v>71</v>
      </c>
      <c r="C36" s="15"/>
      <c r="D36" s="16" t="s">
        <v>46</v>
      </c>
      <c r="E36" s="17" t="n">
        <v>2.423</v>
      </c>
      <c r="F36" s="18"/>
      <c r="G36" s="18"/>
      <c r="H36" s="16"/>
      <c r="I36" s="7" t="str">
        <f aca="false">IF(AND(F36&lt;&gt;"",G36&lt;&gt;""),F36*G36,"")</f>
        <v/>
      </c>
    </row>
    <row r="37" customFormat="false" ht="23.85" hidden="false" customHeight="false" outlineLevel="0" collapsed="false">
      <c r="A37" s="15" t="s">
        <v>85</v>
      </c>
      <c r="B37" s="15" t="s">
        <v>71</v>
      </c>
      <c r="C37" s="15" t="s">
        <v>76</v>
      </c>
      <c r="D37" s="16" t="s">
        <v>46</v>
      </c>
      <c r="E37" s="17" t="n">
        <v>2.423</v>
      </c>
      <c r="F37" s="18"/>
      <c r="G37" s="18"/>
      <c r="H37" s="16" t="s">
        <v>51</v>
      </c>
      <c r="I37" s="7" t="str">
        <f aca="false">IF(AND(F37&lt;&gt;"",G37&lt;&gt;""),F37*G37,"")</f>
        <v/>
      </c>
    </row>
    <row r="38" customFormat="false" ht="23.85" hidden="false" customHeight="false" outlineLevel="0" collapsed="false">
      <c r="A38" s="15" t="s">
        <v>86</v>
      </c>
      <c r="B38" s="15" t="s">
        <v>76</v>
      </c>
      <c r="C38" s="15" t="s">
        <v>71</v>
      </c>
      <c r="D38" s="16" t="s">
        <v>46</v>
      </c>
      <c r="E38" s="17" t="n">
        <v>2.423</v>
      </c>
      <c r="F38" s="18"/>
      <c r="G38" s="18"/>
      <c r="H38" s="16" t="s">
        <v>51</v>
      </c>
      <c r="I38" s="7" t="str">
        <f aca="false">IF(AND(F38&lt;&gt;"",G38&lt;&gt;""),F38*G38,"")</f>
        <v/>
      </c>
    </row>
    <row r="39" customFormat="false" ht="23.85" hidden="false" customHeight="false" outlineLevel="0" collapsed="false">
      <c r="A39" s="15" t="s">
        <v>87</v>
      </c>
      <c r="B39" s="15" t="s">
        <v>50</v>
      </c>
      <c r="C39" s="15" t="s">
        <v>76</v>
      </c>
      <c r="D39" s="16" t="s">
        <v>46</v>
      </c>
      <c r="E39" s="17" t="n">
        <v>2.423</v>
      </c>
      <c r="F39" s="18"/>
      <c r="G39" s="18"/>
      <c r="H39" s="16" t="s">
        <v>51</v>
      </c>
      <c r="I39" s="7" t="str">
        <f aca="false">IF(AND(F39&lt;&gt;"",G39&lt;&gt;""),F39*G39,"")</f>
        <v/>
      </c>
    </row>
    <row r="40" customFormat="false" ht="23.85" hidden="false" customHeight="false" outlineLevel="0" collapsed="false">
      <c r="A40" s="15" t="s">
        <v>88</v>
      </c>
      <c r="B40" s="15" t="s">
        <v>76</v>
      </c>
      <c r="C40" s="15"/>
      <c r="D40" s="16" t="s">
        <v>46</v>
      </c>
      <c r="E40" s="17" t="n">
        <v>2.423</v>
      </c>
      <c r="F40" s="18"/>
      <c r="G40" s="18"/>
      <c r="H40" s="16"/>
      <c r="I40" s="7" t="str">
        <f aca="false">IF(AND(F40&lt;&gt;"",G40&lt;&gt;""),F40*G40,"")</f>
        <v/>
      </c>
    </row>
    <row r="41" customFormat="false" ht="23.85" hidden="false" customHeight="false" outlineLevel="0" collapsed="false">
      <c r="A41" s="15" t="s">
        <v>89</v>
      </c>
      <c r="B41" s="15" t="s">
        <v>76</v>
      </c>
      <c r="C41" s="15"/>
      <c r="D41" s="16" t="s">
        <v>46</v>
      </c>
      <c r="E41" s="17" t="n">
        <v>2.423</v>
      </c>
      <c r="F41" s="18"/>
      <c r="G41" s="18"/>
      <c r="H41" s="16"/>
      <c r="I41" s="7" t="str">
        <f aca="false">IF(AND(F41&lt;&gt;"",G41&lt;&gt;""),F41*G41,"")</f>
        <v/>
      </c>
    </row>
    <row r="42" customFormat="false" ht="23.85" hidden="false" customHeight="false" outlineLevel="0" collapsed="false">
      <c r="A42" s="15" t="s">
        <v>90</v>
      </c>
      <c r="B42" s="15" t="s">
        <v>76</v>
      </c>
      <c r="C42" s="15"/>
      <c r="D42" s="16" t="s">
        <v>46</v>
      </c>
      <c r="E42" s="17" t="n">
        <v>2.423</v>
      </c>
      <c r="F42" s="18"/>
      <c r="G42" s="18"/>
      <c r="H42" s="16"/>
      <c r="I42" s="7" t="str">
        <f aca="false">IF(AND(F42&lt;&gt;"",G42&lt;&gt;""),F42*G42,"")</f>
        <v/>
      </c>
    </row>
    <row r="43" customFormat="false" ht="23.85" hidden="false" customHeight="false" outlineLevel="0" collapsed="false">
      <c r="A43" s="15" t="s">
        <v>91</v>
      </c>
      <c r="B43" s="15" t="s">
        <v>76</v>
      </c>
      <c r="C43" s="15"/>
      <c r="D43" s="16" t="s">
        <v>46</v>
      </c>
      <c r="E43" s="17" t="n">
        <v>2.423</v>
      </c>
      <c r="F43" s="18"/>
      <c r="G43" s="18"/>
      <c r="H43" s="16"/>
      <c r="I43" s="7" t="str">
        <f aca="false">IF(AND(F43&lt;&gt;"",G43&lt;&gt;""),F43*G43,"")</f>
        <v/>
      </c>
    </row>
    <row r="44" customFormat="false" ht="23.85" hidden="false" customHeight="false" outlineLevel="0" collapsed="false">
      <c r="A44" s="15" t="s">
        <v>92</v>
      </c>
      <c r="B44" s="15" t="s">
        <v>76</v>
      </c>
      <c r="C44" s="15" t="s">
        <v>93</v>
      </c>
      <c r="D44" s="16" t="s">
        <v>46</v>
      </c>
      <c r="E44" s="17" t="n">
        <v>2.423</v>
      </c>
      <c r="F44" s="18"/>
      <c r="G44" s="18"/>
      <c r="H44" s="16" t="s">
        <v>51</v>
      </c>
      <c r="I44" s="7" t="str">
        <f aca="false">IF(AND(F44&lt;&gt;"",G44&lt;&gt;""),F44*G44,"")</f>
        <v/>
      </c>
    </row>
    <row r="45" customFormat="false" ht="23.85" hidden="false" customHeight="false" outlineLevel="0" collapsed="false">
      <c r="A45" s="15" t="s">
        <v>94</v>
      </c>
      <c r="B45" s="15" t="s">
        <v>93</v>
      </c>
      <c r="C45" s="15" t="s">
        <v>76</v>
      </c>
      <c r="D45" s="16" t="s">
        <v>46</v>
      </c>
      <c r="E45" s="17" t="n">
        <v>2.423</v>
      </c>
      <c r="F45" s="18"/>
      <c r="G45" s="18"/>
      <c r="H45" s="16" t="s">
        <v>51</v>
      </c>
      <c r="I45" s="7" t="str">
        <f aca="false">IF(AND(F45&lt;&gt;"",G45&lt;&gt;""),F45*G45,"")</f>
        <v/>
      </c>
    </row>
    <row r="46" customFormat="false" ht="23.85" hidden="false" customHeight="false" outlineLevel="0" collapsed="false">
      <c r="A46" s="15" t="s">
        <v>95</v>
      </c>
      <c r="B46" s="15" t="s">
        <v>76</v>
      </c>
      <c r="C46" s="15"/>
      <c r="D46" s="16" t="s">
        <v>46</v>
      </c>
      <c r="E46" s="17" t="n">
        <v>2.423</v>
      </c>
      <c r="F46" s="18"/>
      <c r="G46" s="18"/>
      <c r="H46" s="16"/>
      <c r="I46" s="7" t="str">
        <f aca="false">IF(AND(F46&lt;&gt;"",G46&lt;&gt;""),F46*G46,"")</f>
        <v/>
      </c>
    </row>
    <row r="47" customFormat="false" ht="23.85" hidden="false" customHeight="false" outlineLevel="0" collapsed="false">
      <c r="A47" s="15" t="s">
        <v>96</v>
      </c>
      <c r="B47" s="15" t="s">
        <v>93</v>
      </c>
      <c r="C47" s="15"/>
      <c r="D47" s="16" t="s">
        <v>46</v>
      </c>
      <c r="E47" s="17" t="n">
        <v>2.423</v>
      </c>
      <c r="F47" s="18"/>
      <c r="G47" s="18"/>
      <c r="H47" s="16"/>
      <c r="I47" s="7" t="str">
        <f aca="false">IF(AND(F47&lt;&gt;"",G47&lt;&gt;""),F47*G47,"")</f>
        <v/>
      </c>
    </row>
    <row r="48" customFormat="false" ht="23.85" hidden="false" customHeight="false" outlineLevel="0" collapsed="false">
      <c r="A48" s="15" t="s">
        <v>97</v>
      </c>
      <c r="B48" s="15" t="s">
        <v>93</v>
      </c>
      <c r="C48" s="15"/>
      <c r="D48" s="16" t="s">
        <v>46</v>
      </c>
      <c r="E48" s="17" t="n">
        <v>2.423</v>
      </c>
      <c r="F48" s="18"/>
      <c r="G48" s="18"/>
      <c r="H48" s="16"/>
      <c r="I48" s="7" t="str">
        <f aca="false">IF(AND(F48&lt;&gt;"",G48&lt;&gt;""),F48*G48,"")</f>
        <v/>
      </c>
    </row>
    <row r="49" customFormat="false" ht="23.85" hidden="false" customHeight="false" outlineLevel="0" collapsed="false">
      <c r="A49" s="15" t="s">
        <v>98</v>
      </c>
      <c r="B49" s="15" t="s">
        <v>93</v>
      </c>
      <c r="C49" s="15"/>
      <c r="D49" s="16" t="s">
        <v>46</v>
      </c>
      <c r="E49" s="17" t="n">
        <v>2.423</v>
      </c>
      <c r="F49" s="18"/>
      <c r="G49" s="18"/>
      <c r="H49" s="16"/>
      <c r="I49" s="7" t="str">
        <f aca="false">IF(AND(F49&lt;&gt;"",G49&lt;&gt;""),F49*G49,"")</f>
        <v/>
      </c>
    </row>
    <row r="50" customFormat="false" ht="23.85" hidden="false" customHeight="false" outlineLevel="0" collapsed="false">
      <c r="A50" s="15" t="s">
        <v>99</v>
      </c>
      <c r="B50" s="15" t="s">
        <v>93</v>
      </c>
      <c r="C50" s="15"/>
      <c r="D50" s="16" t="s">
        <v>46</v>
      </c>
      <c r="E50" s="17" t="n">
        <v>2.423</v>
      </c>
      <c r="F50" s="18"/>
      <c r="G50" s="18"/>
      <c r="H50" s="16"/>
      <c r="I50" s="7" t="str">
        <f aca="false">IF(AND(F50&lt;&gt;"",G50&lt;&gt;""),F50*G50,"")</f>
        <v/>
      </c>
    </row>
    <row r="51" customFormat="false" ht="23.85" hidden="false" customHeight="false" outlineLevel="0" collapsed="false">
      <c r="A51" s="15" t="s">
        <v>100</v>
      </c>
      <c r="B51" s="15" t="s">
        <v>93</v>
      </c>
      <c r="C51" s="15"/>
      <c r="D51" s="16" t="s">
        <v>46</v>
      </c>
      <c r="E51" s="17" t="n">
        <v>2.423</v>
      </c>
      <c r="F51" s="18"/>
      <c r="G51" s="18"/>
      <c r="H51" s="16"/>
      <c r="I51" s="7" t="str">
        <f aca="false">IF(AND(F51&lt;&gt;"",G51&lt;&gt;""),F51*G51,"")</f>
        <v/>
      </c>
    </row>
    <row r="52" customFormat="false" ht="23.85" hidden="false" customHeight="false" outlineLevel="0" collapsed="false">
      <c r="A52" s="15" t="s">
        <v>101</v>
      </c>
      <c r="B52" s="15" t="s">
        <v>102</v>
      </c>
      <c r="C52" s="15" t="s">
        <v>93</v>
      </c>
      <c r="D52" s="16" t="s">
        <v>46</v>
      </c>
      <c r="E52" s="17" t="n">
        <v>2.423</v>
      </c>
      <c r="F52" s="18"/>
      <c r="G52" s="18"/>
      <c r="H52" s="16" t="s">
        <v>51</v>
      </c>
      <c r="I52" s="7" t="str">
        <f aca="false">IF(AND(F52&lt;&gt;"",G52&lt;&gt;""),F52*G52,"")</f>
        <v/>
      </c>
    </row>
    <row r="53" customFormat="false" ht="23.85" hidden="false" customHeight="false" outlineLevel="0" collapsed="false">
      <c r="A53" s="15" t="s">
        <v>103</v>
      </c>
      <c r="B53" s="15" t="s">
        <v>93</v>
      </c>
      <c r="C53" s="15"/>
      <c r="D53" s="16" t="s">
        <v>46</v>
      </c>
      <c r="E53" s="17" t="n">
        <v>2.423</v>
      </c>
      <c r="F53" s="18"/>
      <c r="G53" s="18"/>
      <c r="H53" s="16"/>
      <c r="I53" s="7" t="str">
        <f aca="false">IF(AND(F53&lt;&gt;"",G53&lt;&gt;""),F53*G53,"")</f>
        <v/>
      </c>
    </row>
    <row r="54" customFormat="false" ht="23.85" hidden="false" customHeight="false" outlineLevel="0" collapsed="false">
      <c r="A54" s="15" t="s">
        <v>104</v>
      </c>
      <c r="B54" s="15" t="s">
        <v>93</v>
      </c>
      <c r="C54" s="15"/>
      <c r="D54" s="16" t="s">
        <v>46</v>
      </c>
      <c r="E54" s="17" t="n">
        <v>2.423</v>
      </c>
      <c r="F54" s="18"/>
      <c r="G54" s="18"/>
      <c r="H54" s="16"/>
      <c r="I54" s="7" t="str">
        <f aca="false">IF(AND(F54&lt;&gt;"",G54&lt;&gt;""),F54*G54,"")</f>
        <v/>
      </c>
    </row>
    <row r="55" customFormat="false" ht="23.85" hidden="false" customHeight="false" outlineLevel="0" collapsed="false">
      <c r="A55" s="15" t="s">
        <v>105</v>
      </c>
      <c r="B55" s="15" t="s">
        <v>93</v>
      </c>
      <c r="C55" s="15" t="s">
        <v>76</v>
      </c>
      <c r="D55" s="16" t="s">
        <v>46</v>
      </c>
      <c r="E55" s="17" t="n">
        <v>2.423</v>
      </c>
      <c r="F55" s="18"/>
      <c r="G55" s="18"/>
      <c r="H55" s="16" t="s">
        <v>51</v>
      </c>
      <c r="I55" s="7" t="str">
        <f aca="false">IF(AND(F55&lt;&gt;"",G55&lt;&gt;""),F55*G55,"")</f>
        <v/>
      </c>
    </row>
    <row r="56" customFormat="false" ht="23.85" hidden="false" customHeight="false" outlineLevel="0" collapsed="false">
      <c r="A56" s="15" t="s">
        <v>106</v>
      </c>
      <c r="B56" s="15" t="s">
        <v>102</v>
      </c>
      <c r="C56" s="15" t="s">
        <v>93</v>
      </c>
      <c r="D56" s="16" t="s">
        <v>46</v>
      </c>
      <c r="E56" s="17" t="n">
        <v>2.423</v>
      </c>
      <c r="F56" s="18"/>
      <c r="G56" s="18"/>
      <c r="H56" s="16" t="s">
        <v>51</v>
      </c>
      <c r="I56" s="7" t="str">
        <f aca="false">IF(AND(F56&lt;&gt;"",G56&lt;&gt;""),F56*G56,"")</f>
        <v/>
      </c>
    </row>
    <row r="57" customFormat="false" ht="23.85" hidden="false" customHeight="false" outlineLevel="0" collapsed="false">
      <c r="A57" s="15" t="s">
        <v>107</v>
      </c>
      <c r="B57" s="15" t="s">
        <v>102</v>
      </c>
      <c r="C57" s="15"/>
      <c r="D57" s="16" t="s">
        <v>46</v>
      </c>
      <c r="E57" s="17" t="n">
        <v>2.423</v>
      </c>
      <c r="F57" s="18"/>
      <c r="G57" s="18"/>
      <c r="H57" s="16"/>
      <c r="I57" s="7" t="str">
        <f aca="false">IF(AND(F57&lt;&gt;"",G57&lt;&gt;""),F57*G57,"")</f>
        <v/>
      </c>
    </row>
    <row r="58" customFormat="false" ht="23.85" hidden="false" customHeight="false" outlineLevel="0" collapsed="false">
      <c r="A58" s="15" t="s">
        <v>108</v>
      </c>
      <c r="B58" s="15" t="s">
        <v>102</v>
      </c>
      <c r="C58" s="15"/>
      <c r="D58" s="16" t="s">
        <v>46</v>
      </c>
      <c r="E58" s="17" t="n">
        <v>2.423</v>
      </c>
      <c r="F58" s="18"/>
      <c r="G58" s="18"/>
      <c r="H58" s="16"/>
      <c r="I58" s="7" t="str">
        <f aca="false">IF(AND(F58&lt;&gt;"",G58&lt;&gt;""),F58*G58,"")</f>
        <v/>
      </c>
    </row>
    <row r="59" customFormat="false" ht="23.85" hidden="false" customHeight="false" outlineLevel="0" collapsed="false">
      <c r="A59" s="15" t="s">
        <v>109</v>
      </c>
      <c r="B59" s="15" t="s">
        <v>102</v>
      </c>
      <c r="C59" s="15" t="s">
        <v>93</v>
      </c>
      <c r="D59" s="16" t="s">
        <v>46</v>
      </c>
      <c r="E59" s="17" t="n">
        <v>2.423</v>
      </c>
      <c r="F59" s="18"/>
      <c r="G59" s="18"/>
      <c r="H59" s="16" t="s">
        <v>51</v>
      </c>
      <c r="I59" s="7" t="str">
        <f aca="false">IF(AND(F59&lt;&gt;"",G59&lt;&gt;""),F59*G59,"")</f>
        <v/>
      </c>
    </row>
    <row r="60" customFormat="false" ht="23.85" hidden="false" customHeight="false" outlineLevel="0" collapsed="false">
      <c r="A60" s="15" t="s">
        <v>110</v>
      </c>
      <c r="B60" s="15" t="s">
        <v>45</v>
      </c>
      <c r="C60" s="15"/>
      <c r="D60" s="16" t="s">
        <v>46</v>
      </c>
      <c r="E60" s="17" t="n">
        <v>2.423</v>
      </c>
      <c r="F60" s="18"/>
      <c r="G60" s="18"/>
      <c r="H60" s="16"/>
      <c r="I60" s="7" t="str">
        <f aca="false">IF(AND(F60&lt;&gt;"",G60&lt;&gt;""),F60*G60,"")</f>
        <v/>
      </c>
    </row>
    <row r="61" customFormat="false" ht="23.85" hidden="false" customHeight="false" outlineLevel="0" collapsed="false">
      <c r="A61" s="15" t="s">
        <v>111</v>
      </c>
      <c r="B61" s="15" t="s">
        <v>45</v>
      </c>
      <c r="C61" s="15"/>
      <c r="D61" s="16" t="s">
        <v>46</v>
      </c>
      <c r="E61" s="17" t="n">
        <v>2.423</v>
      </c>
      <c r="F61" s="18"/>
      <c r="G61" s="18"/>
      <c r="H61" s="16"/>
      <c r="I61" s="7" t="str">
        <f aca="false">IF(AND(F61&lt;&gt;"",G61&lt;&gt;""),F61*G61,"")</f>
        <v/>
      </c>
    </row>
    <row r="62" customFormat="false" ht="23.85" hidden="false" customHeight="false" outlineLevel="0" collapsed="false">
      <c r="A62" s="15" t="s">
        <v>112</v>
      </c>
      <c r="B62" s="15" t="s">
        <v>45</v>
      </c>
      <c r="C62" s="15"/>
      <c r="D62" s="16" t="s">
        <v>46</v>
      </c>
      <c r="E62" s="17" t="n">
        <v>2.423</v>
      </c>
      <c r="F62" s="18"/>
      <c r="G62" s="18"/>
      <c r="H62" s="16"/>
      <c r="I62" s="7" t="str">
        <f aca="false">IF(AND(F62&lt;&gt;"",G62&lt;&gt;""),F62*G62,"")</f>
        <v/>
      </c>
    </row>
    <row r="63" customFormat="false" ht="23.85" hidden="false" customHeight="false" outlineLevel="0" collapsed="false">
      <c r="A63" s="15" t="s">
        <v>113</v>
      </c>
      <c r="B63" s="15" t="s">
        <v>102</v>
      </c>
      <c r="C63" s="15" t="s">
        <v>76</v>
      </c>
      <c r="D63" s="16" t="s">
        <v>46</v>
      </c>
      <c r="E63" s="17" t="n">
        <v>2.423</v>
      </c>
      <c r="F63" s="18"/>
      <c r="G63" s="18"/>
      <c r="H63" s="16" t="s">
        <v>51</v>
      </c>
      <c r="I63" s="7" t="str">
        <f aca="false">IF(AND(F63&lt;&gt;"",G63&lt;&gt;""),F63*G63,"")</f>
        <v/>
      </c>
    </row>
    <row r="64" customFormat="false" ht="23.85" hidden="false" customHeight="false" outlineLevel="0" collapsed="false">
      <c r="A64" s="15" t="s">
        <v>114</v>
      </c>
      <c r="B64" s="15" t="s">
        <v>45</v>
      </c>
      <c r="C64" s="15"/>
      <c r="D64" s="16" t="s">
        <v>46</v>
      </c>
      <c r="E64" s="17" t="n">
        <v>2.423</v>
      </c>
      <c r="F64" s="18"/>
      <c r="G64" s="18"/>
      <c r="H64" s="16"/>
      <c r="I64" s="7" t="str">
        <f aca="false">IF(AND(F64&lt;&gt;"",G64&lt;&gt;""),F64*G64,"")</f>
        <v/>
      </c>
    </row>
    <row r="65" customFormat="false" ht="23.85" hidden="false" customHeight="false" outlineLevel="0" collapsed="false">
      <c r="A65" s="15" t="s">
        <v>115</v>
      </c>
      <c r="B65" s="15" t="s">
        <v>45</v>
      </c>
      <c r="C65" s="15"/>
      <c r="D65" s="16" t="s">
        <v>46</v>
      </c>
      <c r="E65" s="17" t="n">
        <v>2.423</v>
      </c>
      <c r="F65" s="18"/>
      <c r="G65" s="18"/>
      <c r="H65" s="16"/>
      <c r="I65" s="7" t="str">
        <f aca="false">IF(AND(F65&lt;&gt;"",G65&lt;&gt;""),F65*G65,"")</f>
        <v/>
      </c>
    </row>
    <row r="66" customFormat="false" ht="23.85" hidden="false" customHeight="false" outlineLevel="0" collapsed="false">
      <c r="A66" s="15" t="s">
        <v>116</v>
      </c>
      <c r="B66" s="15" t="s">
        <v>102</v>
      </c>
      <c r="C66" s="15"/>
      <c r="D66" s="16" t="s">
        <v>46</v>
      </c>
      <c r="E66" s="17" t="n">
        <v>2.423</v>
      </c>
      <c r="F66" s="18"/>
      <c r="G66" s="18"/>
      <c r="H66" s="16"/>
      <c r="I66" s="7" t="str">
        <f aca="false">IF(AND(F66&lt;&gt;"",G66&lt;&gt;""),F66*G66,"")</f>
        <v/>
      </c>
    </row>
    <row r="67" customFormat="false" ht="23.85" hidden="false" customHeight="false" outlineLevel="0" collapsed="false">
      <c r="A67" s="15" t="s">
        <v>117</v>
      </c>
      <c r="B67" s="15" t="s">
        <v>102</v>
      </c>
      <c r="C67" s="15"/>
      <c r="D67" s="16" t="s">
        <v>46</v>
      </c>
      <c r="E67" s="17" t="n">
        <v>2.423</v>
      </c>
      <c r="F67" s="18"/>
      <c r="G67" s="18"/>
      <c r="H67" s="16"/>
      <c r="I67" s="7" t="str">
        <f aca="false">IF(AND(F67&lt;&gt;"",G67&lt;&gt;""),F67*G67,"")</f>
        <v/>
      </c>
    </row>
    <row r="68" customFormat="false" ht="23.85" hidden="false" customHeight="false" outlineLevel="0" collapsed="false">
      <c r="A68" s="15" t="s">
        <v>118</v>
      </c>
      <c r="B68" s="15" t="s">
        <v>50</v>
      </c>
      <c r="C68" s="15" t="s">
        <v>76</v>
      </c>
      <c r="D68" s="16" t="s">
        <v>46</v>
      </c>
      <c r="E68" s="17" t="n">
        <v>2.423</v>
      </c>
      <c r="F68" s="18"/>
      <c r="G68" s="18"/>
      <c r="H68" s="16" t="s">
        <v>51</v>
      </c>
      <c r="I68" s="7" t="str">
        <f aca="false">IF(AND(F68&lt;&gt;"",G68&lt;&gt;""),F68*G68,"")</f>
        <v/>
      </c>
    </row>
    <row r="69" customFormat="false" ht="23.85" hidden="false" customHeight="false" outlineLevel="0" collapsed="false">
      <c r="A69" s="15" t="s">
        <v>119</v>
      </c>
      <c r="B69" s="15" t="s">
        <v>45</v>
      </c>
      <c r="C69" s="15"/>
      <c r="D69" s="16" t="s">
        <v>46</v>
      </c>
      <c r="E69" s="17" t="n">
        <v>2.423</v>
      </c>
      <c r="F69" s="18"/>
      <c r="G69" s="18"/>
      <c r="H69" s="16"/>
      <c r="I69" s="7" t="str">
        <f aca="false">IF(AND(F69&lt;&gt;"",G69&lt;&gt;""),F69*G69,"")</f>
        <v/>
      </c>
    </row>
    <row r="70" customFormat="false" ht="23.85" hidden="false" customHeight="false" outlineLevel="0" collapsed="false">
      <c r="A70" s="15" t="s">
        <v>120</v>
      </c>
      <c r="B70" s="15" t="s">
        <v>45</v>
      </c>
      <c r="C70" s="15"/>
      <c r="D70" s="16" t="s">
        <v>46</v>
      </c>
      <c r="E70" s="17" t="n">
        <v>2.423</v>
      </c>
      <c r="F70" s="18"/>
      <c r="G70" s="18"/>
      <c r="H70" s="16"/>
      <c r="I70" s="7" t="str">
        <f aca="false">IF(AND(F70&lt;&gt;"",G70&lt;&gt;""),F70*G70,"")</f>
        <v/>
      </c>
    </row>
    <row r="71" customFormat="false" ht="23.85" hidden="false" customHeight="false" outlineLevel="0" collapsed="false">
      <c r="A71" s="15" t="s">
        <v>121</v>
      </c>
      <c r="B71" s="15" t="s">
        <v>45</v>
      </c>
      <c r="C71" s="15"/>
      <c r="D71" s="16" t="s">
        <v>46</v>
      </c>
      <c r="E71" s="17" t="n">
        <v>2.423</v>
      </c>
      <c r="F71" s="18"/>
      <c r="G71" s="18"/>
      <c r="H71" s="16"/>
      <c r="I71" s="7" t="str">
        <f aca="false">IF(AND(F71&lt;&gt;"",G71&lt;&gt;""),F71*G71,"")</f>
        <v/>
      </c>
    </row>
    <row r="72" customFormat="false" ht="23.85" hidden="false" customHeight="false" outlineLevel="0" collapsed="false">
      <c r="A72" s="15" t="s">
        <v>122</v>
      </c>
      <c r="B72" s="15" t="s">
        <v>45</v>
      </c>
      <c r="C72" s="15"/>
      <c r="D72" s="16" t="s">
        <v>46</v>
      </c>
      <c r="E72" s="17" t="n">
        <v>2.423</v>
      </c>
      <c r="F72" s="18"/>
      <c r="G72" s="18"/>
      <c r="H72" s="16"/>
      <c r="I72" s="7" t="str">
        <f aca="false">IF(AND(F72&lt;&gt;"",G72&lt;&gt;""),F72*G72,"")</f>
        <v/>
      </c>
    </row>
    <row r="73" customFormat="false" ht="23.85" hidden="false" customHeight="false" outlineLevel="0" collapsed="false">
      <c r="A73" s="15" t="s">
        <v>123</v>
      </c>
      <c r="B73" s="15" t="s">
        <v>45</v>
      </c>
      <c r="C73" s="15"/>
      <c r="D73" s="16" t="s">
        <v>46</v>
      </c>
      <c r="E73" s="17" t="n">
        <v>2.423</v>
      </c>
      <c r="F73" s="18"/>
      <c r="G73" s="18"/>
      <c r="H73" s="16"/>
      <c r="I73" s="7" t="str">
        <f aca="false">IF(AND(F73&lt;&gt;"",G73&lt;&gt;""),F73*G73,"")</f>
        <v/>
      </c>
    </row>
    <row r="74" customFormat="false" ht="68.65" hidden="false" customHeight="false" outlineLevel="0" collapsed="false">
      <c r="A74" s="15" t="s">
        <v>124</v>
      </c>
      <c r="B74" s="15" t="s">
        <v>125</v>
      </c>
      <c r="C74" s="15"/>
      <c r="D74" s="19" t="s">
        <v>126</v>
      </c>
      <c r="E74" s="20"/>
      <c r="F74" s="20"/>
      <c r="G74" s="20"/>
      <c r="H74" s="16" t="s">
        <v>127</v>
      </c>
    </row>
    <row r="75" customFormat="false" ht="23.85" hidden="false" customHeight="false" outlineLevel="0" collapsed="false">
      <c r="A75" s="15" t="s">
        <v>128</v>
      </c>
      <c r="B75" s="15" t="s">
        <v>45</v>
      </c>
      <c r="C75" s="15"/>
      <c r="D75" s="16" t="s">
        <v>46</v>
      </c>
      <c r="E75" s="17" t="n">
        <v>2.423</v>
      </c>
      <c r="F75" s="18"/>
      <c r="G75" s="18"/>
      <c r="H75" s="16"/>
      <c r="I75" s="7" t="str">
        <f aca="false">IF(AND(F75&lt;&gt;"",G75&lt;&gt;""),F75*G75,"")</f>
        <v/>
      </c>
    </row>
    <row r="76" customFormat="false" ht="68.65" hidden="false" customHeight="false" outlineLevel="0" collapsed="false">
      <c r="A76" s="15" t="s">
        <v>129</v>
      </c>
      <c r="B76" s="15" t="s">
        <v>125</v>
      </c>
      <c r="C76" s="15"/>
      <c r="D76" s="19" t="s">
        <v>126</v>
      </c>
      <c r="E76" s="20"/>
      <c r="F76" s="20"/>
      <c r="G76" s="20"/>
      <c r="H76" s="16" t="s">
        <v>127</v>
      </c>
    </row>
    <row r="77" customFormat="false" ht="68.65" hidden="false" customHeight="false" outlineLevel="0" collapsed="false">
      <c r="A77" s="15" t="s">
        <v>130</v>
      </c>
      <c r="B77" s="15" t="s">
        <v>125</v>
      </c>
      <c r="C77" s="15"/>
      <c r="D77" s="19" t="s">
        <v>126</v>
      </c>
      <c r="E77" s="20"/>
      <c r="F77" s="20"/>
      <c r="G77" s="20"/>
      <c r="H77" s="16" t="s">
        <v>127</v>
      </c>
    </row>
    <row r="78" customFormat="false" ht="68.65" hidden="false" customHeight="false" outlineLevel="0" collapsed="false">
      <c r="A78" s="15" t="s">
        <v>131</v>
      </c>
      <c r="B78" s="15" t="s">
        <v>125</v>
      </c>
      <c r="C78" s="15"/>
      <c r="D78" s="19" t="s">
        <v>126</v>
      </c>
      <c r="E78" s="20"/>
      <c r="F78" s="20"/>
      <c r="G78" s="20"/>
      <c r="H78" s="16" t="s">
        <v>127</v>
      </c>
    </row>
  </sheetData>
  <autoFilter ref="A2:I7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45"/>
  </cols>
  <sheetData>
    <row r="1" customFormat="false" ht="19.7" hidden="false" customHeight="false" outlineLevel="0" collapsed="false">
      <c r="A1" s="13" t="s">
        <v>132</v>
      </c>
      <c r="B1" s="13"/>
      <c r="C1" s="13"/>
      <c r="D1" s="13"/>
      <c r="E1" s="13"/>
      <c r="F1" s="13"/>
      <c r="G1" s="13"/>
    </row>
    <row r="2" customFormat="false" ht="30" hidden="false" customHeight="true" outlineLevel="0" collapsed="false">
      <c r="A2" s="14" t="s">
        <v>35</v>
      </c>
      <c r="B2" s="14" t="s">
        <v>38</v>
      </c>
      <c r="C2" s="14" t="s">
        <v>133</v>
      </c>
      <c r="D2" s="14" t="s">
        <v>134</v>
      </c>
      <c r="E2" s="14" t="s">
        <v>39</v>
      </c>
      <c r="F2" s="14" t="s">
        <v>40</v>
      </c>
      <c r="G2" s="14" t="s">
        <v>42</v>
      </c>
    </row>
    <row r="3" customFormat="false" ht="15" hidden="false" customHeight="false" outlineLevel="0" collapsed="false">
      <c r="A3" s="15" t="s">
        <v>135</v>
      </c>
      <c r="B3" s="15" t="s">
        <v>136</v>
      </c>
      <c r="C3" s="16" t="s">
        <v>49</v>
      </c>
      <c r="D3" s="15" t="s">
        <v>60</v>
      </c>
      <c r="E3" s="17" t="n">
        <v>2.423</v>
      </c>
      <c r="F3" s="18"/>
      <c r="G3" s="21"/>
    </row>
    <row r="4" customFormat="false" ht="15" hidden="false" customHeight="false" outlineLevel="0" collapsed="false">
      <c r="A4" s="15" t="s">
        <v>137</v>
      </c>
      <c r="B4" s="15" t="s">
        <v>136</v>
      </c>
      <c r="C4" s="16" t="s">
        <v>49</v>
      </c>
      <c r="D4" s="15" t="s">
        <v>59</v>
      </c>
      <c r="E4" s="17" t="n">
        <v>2.423</v>
      </c>
      <c r="F4" s="18"/>
      <c r="G4" s="21"/>
    </row>
    <row r="5" customFormat="false" ht="15" hidden="false" customHeight="false" outlineLevel="0" collapsed="false">
      <c r="A5" s="15" t="s">
        <v>138</v>
      </c>
      <c r="B5" s="15" t="s">
        <v>136</v>
      </c>
      <c r="C5" s="16" t="s">
        <v>50</v>
      </c>
      <c r="D5" s="15" t="s">
        <v>59</v>
      </c>
      <c r="E5" s="17" t="n">
        <v>2.423</v>
      </c>
      <c r="F5" s="18"/>
      <c r="G5" s="21"/>
    </row>
    <row r="6" customFormat="false" ht="15" hidden="false" customHeight="false" outlineLevel="0" collapsed="false">
      <c r="A6" s="15" t="s">
        <v>139</v>
      </c>
      <c r="B6" s="15" t="s">
        <v>136</v>
      </c>
      <c r="C6" s="16" t="s">
        <v>71</v>
      </c>
      <c r="D6" s="15" t="s">
        <v>84</v>
      </c>
      <c r="E6" s="17" t="n">
        <v>2.423</v>
      </c>
      <c r="F6" s="18"/>
      <c r="G6" s="21"/>
    </row>
    <row r="7" customFormat="false" ht="15" hidden="false" customHeight="false" outlineLevel="0" collapsed="false">
      <c r="A7" s="15" t="s">
        <v>140</v>
      </c>
      <c r="B7" s="15" t="s">
        <v>136</v>
      </c>
      <c r="C7" s="16" t="s">
        <v>71</v>
      </c>
      <c r="D7" s="15" t="s">
        <v>84</v>
      </c>
      <c r="E7" s="17" t="n">
        <v>2.423</v>
      </c>
      <c r="F7" s="18"/>
      <c r="G7" s="21"/>
    </row>
    <row r="8" customFormat="false" ht="15" hidden="false" customHeight="false" outlineLevel="0" collapsed="false">
      <c r="A8" s="15" t="s">
        <v>141</v>
      </c>
      <c r="B8" s="15" t="s">
        <v>136</v>
      </c>
      <c r="C8" s="16" t="s">
        <v>93</v>
      </c>
      <c r="D8" s="15" t="s">
        <v>104</v>
      </c>
      <c r="E8" s="17" t="n">
        <v>2.423</v>
      </c>
      <c r="F8" s="18"/>
      <c r="G8" s="21"/>
    </row>
    <row r="9" customFormat="false" ht="15" hidden="false" customHeight="false" outlineLevel="0" collapsed="false">
      <c r="A9" s="15" t="s">
        <v>142</v>
      </c>
      <c r="B9" s="15" t="s">
        <v>136</v>
      </c>
      <c r="C9" s="16" t="s">
        <v>93</v>
      </c>
      <c r="D9" s="15" t="s">
        <v>100</v>
      </c>
      <c r="E9" s="17" t="n">
        <v>2.423</v>
      </c>
      <c r="F9" s="18"/>
      <c r="G9" s="21"/>
    </row>
    <row r="10" customFormat="false" ht="15" hidden="false" customHeight="false" outlineLevel="0" collapsed="false">
      <c r="A10" s="15" t="s">
        <v>143</v>
      </c>
      <c r="B10" s="15" t="s">
        <v>136</v>
      </c>
      <c r="C10" s="16" t="s">
        <v>102</v>
      </c>
      <c r="D10" s="15" t="s">
        <v>101</v>
      </c>
      <c r="E10" s="17" t="n">
        <v>2.423</v>
      </c>
      <c r="F10" s="18"/>
      <c r="G10" s="21"/>
    </row>
    <row r="11" customFormat="false" ht="15" hidden="false" customHeight="false" outlineLevel="0" collapsed="false">
      <c r="A11" s="15" t="s">
        <v>144</v>
      </c>
      <c r="B11" s="15" t="s">
        <v>136</v>
      </c>
      <c r="C11" s="16" t="s">
        <v>102</v>
      </c>
      <c r="D11" s="15" t="s">
        <v>117</v>
      </c>
      <c r="E11" s="17" t="n">
        <v>2.423</v>
      </c>
      <c r="F11" s="18"/>
      <c r="G11" s="21"/>
    </row>
    <row r="12" customFormat="false" ht="15" hidden="false" customHeight="false" outlineLevel="0" collapsed="false">
      <c r="A12" s="15" t="s">
        <v>145</v>
      </c>
      <c r="B12" s="15" t="s">
        <v>146</v>
      </c>
      <c r="C12" s="16" t="s">
        <v>49</v>
      </c>
      <c r="D12" s="15" t="s">
        <v>44</v>
      </c>
      <c r="E12" s="15"/>
      <c r="F12" s="18"/>
      <c r="G12" s="21" t="s">
        <v>147</v>
      </c>
    </row>
    <row r="13" customFormat="false" ht="15" hidden="false" customHeight="false" outlineLevel="0" collapsed="false">
      <c r="A13" s="15" t="s">
        <v>148</v>
      </c>
      <c r="B13" s="15" t="s">
        <v>146</v>
      </c>
      <c r="C13" s="16" t="s">
        <v>49</v>
      </c>
      <c r="D13" s="15" t="s">
        <v>61</v>
      </c>
      <c r="E13" s="15"/>
      <c r="F13" s="18"/>
      <c r="G13" s="21" t="s">
        <v>147</v>
      </c>
    </row>
    <row r="14" customFormat="false" ht="15" hidden="false" customHeight="false" outlineLevel="0" collapsed="false">
      <c r="A14" s="15" t="s">
        <v>149</v>
      </c>
      <c r="B14" s="15" t="s">
        <v>146</v>
      </c>
      <c r="C14" s="16" t="s">
        <v>71</v>
      </c>
      <c r="D14" s="15" t="s">
        <v>81</v>
      </c>
      <c r="E14" s="15"/>
      <c r="F14" s="18"/>
      <c r="G14" s="21" t="s">
        <v>147</v>
      </c>
    </row>
    <row r="15" customFormat="false" ht="15" hidden="false" customHeight="false" outlineLevel="0" collapsed="false">
      <c r="A15" s="15" t="s">
        <v>150</v>
      </c>
      <c r="B15" s="15" t="s">
        <v>146</v>
      </c>
      <c r="C15" s="16" t="s">
        <v>76</v>
      </c>
      <c r="D15" s="15" t="s">
        <v>91</v>
      </c>
      <c r="E15" s="15"/>
      <c r="F15" s="18"/>
      <c r="G15" s="21" t="s">
        <v>147</v>
      </c>
    </row>
    <row r="16" customFormat="false" ht="15" hidden="false" customHeight="false" outlineLevel="0" collapsed="false">
      <c r="A16" s="15" t="s">
        <v>151</v>
      </c>
      <c r="B16" s="15" t="s">
        <v>146</v>
      </c>
      <c r="C16" s="16" t="s">
        <v>76</v>
      </c>
      <c r="D16" s="15" t="s">
        <v>105</v>
      </c>
      <c r="E16" s="15"/>
      <c r="F16" s="18"/>
      <c r="G16" s="21" t="s">
        <v>147</v>
      </c>
    </row>
    <row r="17" customFormat="false" ht="15" hidden="false" customHeight="false" outlineLevel="0" collapsed="false">
      <c r="A17" s="15" t="s">
        <v>152</v>
      </c>
      <c r="B17" s="15" t="s">
        <v>146</v>
      </c>
      <c r="C17" s="16" t="s">
        <v>102</v>
      </c>
      <c r="D17" s="15" t="s">
        <v>115</v>
      </c>
      <c r="E17" s="15"/>
      <c r="F17" s="18"/>
      <c r="G17" s="21" t="s">
        <v>147</v>
      </c>
    </row>
    <row r="18" customFormat="false" ht="15" hidden="false" customHeight="false" outlineLevel="0" collapsed="false">
      <c r="A18" s="15" t="s">
        <v>153</v>
      </c>
      <c r="B18" s="15" t="s">
        <v>154</v>
      </c>
      <c r="C18" s="16" t="s">
        <v>49</v>
      </c>
      <c r="D18" s="15" t="s">
        <v>55</v>
      </c>
      <c r="E18" s="15"/>
      <c r="F18" s="18"/>
      <c r="G18" s="21" t="s">
        <v>155</v>
      </c>
    </row>
    <row r="19" customFormat="false" ht="15" hidden="false" customHeight="false" outlineLevel="0" collapsed="false">
      <c r="A19" s="15" t="s">
        <v>156</v>
      </c>
      <c r="B19" s="15" t="s">
        <v>154</v>
      </c>
      <c r="C19" s="16" t="s">
        <v>50</v>
      </c>
      <c r="D19" s="15" t="s">
        <v>64</v>
      </c>
      <c r="E19" s="15"/>
      <c r="F19" s="18"/>
      <c r="G19" s="21" t="s">
        <v>155</v>
      </c>
    </row>
    <row r="20" customFormat="false" ht="57.45" hidden="false" customHeight="false" outlineLevel="0" collapsed="false">
      <c r="A20" s="15" t="s">
        <v>157</v>
      </c>
      <c r="B20" s="15" t="s">
        <v>154</v>
      </c>
      <c r="C20" s="22" t="s">
        <v>158</v>
      </c>
      <c r="D20" s="15" t="s">
        <v>77</v>
      </c>
      <c r="E20" s="15"/>
      <c r="F20" s="18"/>
      <c r="G20" s="21" t="s">
        <v>155</v>
      </c>
    </row>
    <row r="21" customFormat="false" ht="57.45" hidden="false" customHeight="false" outlineLevel="0" collapsed="false">
      <c r="A21" s="15" t="s">
        <v>159</v>
      </c>
      <c r="B21" s="15" t="s">
        <v>154</v>
      </c>
      <c r="C21" s="22" t="s">
        <v>158</v>
      </c>
      <c r="D21" s="15" t="s">
        <v>77</v>
      </c>
      <c r="E21" s="15"/>
      <c r="F21" s="18"/>
      <c r="G21" s="21" t="s">
        <v>155</v>
      </c>
    </row>
    <row r="22" customFormat="false" ht="15" hidden="false" customHeight="false" outlineLevel="0" collapsed="false">
      <c r="A22" s="15" t="s">
        <v>160</v>
      </c>
      <c r="B22" s="15" t="s">
        <v>154</v>
      </c>
      <c r="C22" s="16" t="s">
        <v>102</v>
      </c>
      <c r="D22" s="15" t="s">
        <v>106</v>
      </c>
      <c r="E22" s="15"/>
      <c r="F22" s="18"/>
      <c r="G22" s="21" t="s">
        <v>155</v>
      </c>
    </row>
    <row r="23" customFormat="false" ht="35.05" hidden="false" customHeight="false" outlineLevel="0" collapsed="false">
      <c r="A23" s="15" t="s">
        <v>161</v>
      </c>
      <c r="B23" s="15" t="s">
        <v>154</v>
      </c>
      <c r="C23" s="16" t="s">
        <v>45</v>
      </c>
      <c r="D23" s="15" t="s">
        <v>110</v>
      </c>
      <c r="E23" s="15"/>
      <c r="F23" s="18"/>
      <c r="G23" s="21" t="s">
        <v>155</v>
      </c>
    </row>
  </sheetData>
  <autoFilter ref="A2:G23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3" t="s">
        <v>162</v>
      </c>
      <c r="B1" s="13"/>
      <c r="C1" s="13"/>
      <c r="D1" s="13"/>
    </row>
    <row r="2" customFormat="false" ht="19.5" hidden="false" customHeight="true" outlineLevel="0" collapsed="false">
      <c r="A2" s="14" t="s">
        <v>35</v>
      </c>
      <c r="B2" s="14" t="s">
        <v>163</v>
      </c>
      <c r="C2" s="14" t="s">
        <v>164</v>
      </c>
      <c r="D2" s="14" t="s">
        <v>42</v>
      </c>
    </row>
    <row r="3" customFormat="false" ht="43.25" hidden="false" customHeight="false" outlineLevel="0" collapsed="false">
      <c r="A3" s="15" t="s">
        <v>165</v>
      </c>
      <c r="B3" s="15" t="s">
        <v>166</v>
      </c>
      <c r="C3" s="15" t="s">
        <v>49</v>
      </c>
      <c r="D3" s="23" t="s">
        <v>167</v>
      </c>
    </row>
    <row r="4" customFormat="false" ht="43.25" hidden="false" customHeight="false" outlineLevel="0" collapsed="false">
      <c r="A4" s="15" t="s">
        <v>168</v>
      </c>
      <c r="B4" s="15" t="s">
        <v>166</v>
      </c>
      <c r="C4" s="15" t="s">
        <v>71</v>
      </c>
      <c r="D4" s="23" t="s">
        <v>167</v>
      </c>
    </row>
    <row r="5" customFormat="false" ht="43.25" hidden="false" customHeight="false" outlineLevel="0" collapsed="false">
      <c r="A5" s="15" t="s">
        <v>169</v>
      </c>
      <c r="B5" s="15" t="s">
        <v>166</v>
      </c>
      <c r="C5" s="15" t="s">
        <v>93</v>
      </c>
      <c r="D5" s="23" t="s">
        <v>167</v>
      </c>
    </row>
    <row r="6" customFormat="false" ht="43.25" hidden="false" customHeight="false" outlineLevel="0" collapsed="false">
      <c r="A6" s="15" t="s">
        <v>170</v>
      </c>
      <c r="B6" s="15" t="s">
        <v>166</v>
      </c>
      <c r="C6" s="15" t="s">
        <v>102</v>
      </c>
      <c r="D6" s="23" t="s">
        <v>167</v>
      </c>
    </row>
  </sheetData>
  <autoFilter ref="A2:D6"/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45"/>
  </cols>
  <sheetData>
    <row r="1" customFormat="false" ht="19.7" hidden="false" customHeight="false" outlineLevel="0" collapsed="false">
      <c r="A1" s="13" t="s">
        <v>171</v>
      </c>
      <c r="B1" s="13"/>
      <c r="C1" s="13"/>
      <c r="D1" s="13"/>
      <c r="E1" s="13"/>
    </row>
    <row r="2" customFormat="false" ht="19.5" hidden="false" customHeight="true" outlineLevel="0" collapsed="false">
      <c r="A2" s="14" t="s">
        <v>35</v>
      </c>
      <c r="B2" s="14" t="s">
        <v>172</v>
      </c>
      <c r="C2" s="14" t="s">
        <v>38</v>
      </c>
      <c r="D2" s="14" t="s">
        <v>173</v>
      </c>
      <c r="E2" s="14" t="s">
        <v>42</v>
      </c>
    </row>
    <row r="3" customFormat="false" ht="35.05" hidden="false" customHeight="false" outlineLevel="0" collapsed="false">
      <c r="A3" s="15" t="s">
        <v>174</v>
      </c>
      <c r="B3" s="24" t="s">
        <v>49</v>
      </c>
      <c r="C3" s="15" t="s">
        <v>175</v>
      </c>
      <c r="D3" s="16" t="s">
        <v>176</v>
      </c>
      <c r="E3" s="23" t="s">
        <v>177</v>
      </c>
    </row>
    <row r="4" customFormat="false" ht="35.05" hidden="false" customHeight="false" outlineLevel="0" collapsed="false">
      <c r="A4" s="15" t="s">
        <v>178</v>
      </c>
      <c r="B4" s="24" t="s">
        <v>50</v>
      </c>
      <c r="C4" s="15" t="s">
        <v>175</v>
      </c>
      <c r="D4" s="16" t="s">
        <v>176</v>
      </c>
      <c r="E4" s="23" t="s">
        <v>177</v>
      </c>
    </row>
    <row r="5" customFormat="false" ht="35.05" hidden="false" customHeight="false" outlineLevel="0" collapsed="false">
      <c r="A5" s="15" t="s">
        <v>179</v>
      </c>
      <c r="B5" s="24" t="s">
        <v>180</v>
      </c>
      <c r="C5" s="15" t="s">
        <v>181</v>
      </c>
      <c r="D5" s="16" t="s">
        <v>176</v>
      </c>
      <c r="E5" s="23" t="s">
        <v>182</v>
      </c>
    </row>
    <row r="6" customFormat="false" ht="35.05" hidden="false" customHeight="false" outlineLevel="0" collapsed="false">
      <c r="A6" s="15" t="s">
        <v>183</v>
      </c>
      <c r="B6" s="24" t="s">
        <v>93</v>
      </c>
      <c r="C6" s="15" t="s">
        <v>175</v>
      </c>
      <c r="D6" s="16" t="s">
        <v>176</v>
      </c>
      <c r="E6" s="23" t="s">
        <v>177</v>
      </c>
    </row>
    <row r="7" customFormat="false" ht="35.05" hidden="false" customHeight="false" outlineLevel="0" collapsed="false">
      <c r="A7" s="15" t="s">
        <v>184</v>
      </c>
      <c r="B7" s="24" t="s">
        <v>102</v>
      </c>
      <c r="C7" s="15" t="s">
        <v>175</v>
      </c>
      <c r="D7" s="16" t="s">
        <v>176</v>
      </c>
      <c r="E7" s="23" t="s">
        <v>177</v>
      </c>
    </row>
    <row r="8" customFormat="false" ht="35.05" hidden="false" customHeight="false" outlineLevel="0" collapsed="false">
      <c r="A8" s="15" t="s">
        <v>185</v>
      </c>
      <c r="B8" s="24" t="s">
        <v>186</v>
      </c>
      <c r="C8" s="15" t="s">
        <v>175</v>
      </c>
      <c r="D8" s="16" t="s">
        <v>176</v>
      </c>
      <c r="E8" s="23" t="s">
        <v>187</v>
      </c>
    </row>
  </sheetData>
  <autoFilter ref="A2:E8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6" min="4" style="0" width="16"/>
    <col collapsed="false" customWidth="true" hidden="false" outlineLevel="0" max="7" min="7" style="0" width="45"/>
  </cols>
  <sheetData>
    <row r="1" customFormat="false" ht="19.7" hidden="false" customHeight="false" outlineLevel="0" collapsed="false">
      <c r="A1" s="13" t="s">
        <v>188</v>
      </c>
      <c r="B1" s="13"/>
      <c r="C1" s="13"/>
      <c r="D1" s="13"/>
      <c r="E1" s="13"/>
      <c r="F1" s="13"/>
      <c r="G1" s="13"/>
    </row>
    <row r="2" customFormat="false" ht="19.5" hidden="false" customHeight="true" outlineLevel="0" collapsed="false">
      <c r="A2" s="14" t="s">
        <v>35</v>
      </c>
      <c r="B2" s="14" t="s">
        <v>38</v>
      </c>
      <c r="C2" s="14" t="s">
        <v>36</v>
      </c>
      <c r="D2" s="14" t="s">
        <v>189</v>
      </c>
      <c r="E2" s="14" t="s">
        <v>39</v>
      </c>
      <c r="F2" s="14" t="s">
        <v>40</v>
      </c>
      <c r="G2" s="14" t="s">
        <v>42</v>
      </c>
    </row>
    <row r="3" customFormat="false" ht="22.35" hidden="false" customHeight="false" outlineLevel="0" collapsed="false">
      <c r="A3" s="15" t="s">
        <v>190</v>
      </c>
      <c r="B3" s="15" t="s">
        <v>191</v>
      </c>
      <c r="C3" s="16" t="s">
        <v>192</v>
      </c>
      <c r="D3" s="17" t="n">
        <v>0.6</v>
      </c>
      <c r="E3" s="15"/>
      <c r="F3" s="18"/>
      <c r="G3" s="23" t="s">
        <v>193</v>
      </c>
    </row>
    <row r="4" customFormat="false" ht="22.35" hidden="false" customHeight="false" outlineLevel="0" collapsed="false">
      <c r="A4" s="15" t="s">
        <v>194</v>
      </c>
      <c r="B4" s="15" t="s">
        <v>191</v>
      </c>
      <c r="C4" s="16" t="s">
        <v>195</v>
      </c>
      <c r="D4" s="17" t="n">
        <v>0.6</v>
      </c>
      <c r="E4" s="15"/>
      <c r="F4" s="18"/>
      <c r="G4" s="23" t="s">
        <v>193</v>
      </c>
    </row>
    <row r="5" customFormat="false" ht="22.35" hidden="false" customHeight="false" outlineLevel="0" collapsed="false">
      <c r="A5" s="15" t="s">
        <v>196</v>
      </c>
      <c r="B5" s="15" t="s">
        <v>191</v>
      </c>
      <c r="C5" s="16" t="s">
        <v>197</v>
      </c>
      <c r="D5" s="17" t="n">
        <v>0.6</v>
      </c>
      <c r="E5" s="15"/>
      <c r="F5" s="18"/>
      <c r="G5" s="23" t="s">
        <v>193</v>
      </c>
    </row>
    <row r="6" customFormat="false" ht="22.35" hidden="false" customHeight="false" outlineLevel="0" collapsed="false">
      <c r="A6" s="15" t="s">
        <v>198</v>
      </c>
      <c r="B6" s="15" t="s">
        <v>191</v>
      </c>
      <c r="C6" s="16" t="s">
        <v>197</v>
      </c>
      <c r="D6" s="17" t="n">
        <v>0.6</v>
      </c>
      <c r="E6" s="15"/>
      <c r="F6" s="18"/>
      <c r="G6" s="23" t="s">
        <v>193</v>
      </c>
    </row>
    <row r="7" customFormat="false" ht="22.35" hidden="false" customHeight="false" outlineLevel="0" collapsed="false">
      <c r="A7" s="15" t="s">
        <v>199</v>
      </c>
      <c r="B7" s="15" t="s">
        <v>191</v>
      </c>
      <c r="C7" s="16" t="s">
        <v>93</v>
      </c>
      <c r="D7" s="17" t="n">
        <v>0.6</v>
      </c>
      <c r="E7" s="15"/>
      <c r="F7" s="18"/>
      <c r="G7" s="23" t="s">
        <v>193</v>
      </c>
    </row>
    <row r="8" customFormat="false" ht="23.85" hidden="false" customHeight="false" outlineLevel="0" collapsed="false">
      <c r="A8" s="15" t="s">
        <v>200</v>
      </c>
      <c r="B8" s="15" t="s">
        <v>191</v>
      </c>
      <c r="C8" s="16" t="s">
        <v>45</v>
      </c>
      <c r="D8" s="17" t="n">
        <v>0.6</v>
      </c>
      <c r="E8" s="15"/>
      <c r="F8" s="18"/>
      <c r="G8" s="23" t="s">
        <v>193</v>
      </c>
    </row>
    <row r="9" customFormat="false" ht="23.85" hidden="false" customHeight="false" outlineLevel="0" collapsed="false">
      <c r="A9" s="15" t="s">
        <v>201</v>
      </c>
      <c r="B9" s="15" t="s">
        <v>202</v>
      </c>
      <c r="C9" s="16" t="s">
        <v>45</v>
      </c>
      <c r="D9" s="15"/>
      <c r="E9" s="17" t="n">
        <v>0.7</v>
      </c>
      <c r="F9" s="18"/>
      <c r="G9" s="23" t="s">
        <v>203</v>
      </c>
    </row>
    <row r="10" customFormat="false" ht="23.85" hidden="false" customHeight="false" outlineLevel="0" collapsed="false">
      <c r="A10" s="15" t="s">
        <v>204</v>
      </c>
      <c r="B10" s="15" t="s">
        <v>202</v>
      </c>
      <c r="C10" s="16" t="s">
        <v>45</v>
      </c>
      <c r="D10" s="15"/>
      <c r="E10" s="17" t="n">
        <v>0.7</v>
      </c>
      <c r="F10" s="18"/>
      <c r="G10" s="23" t="s">
        <v>203</v>
      </c>
    </row>
  </sheetData>
  <autoFilter ref="A2:G1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5"/>
  </cols>
  <sheetData>
    <row r="1" customFormat="false" ht="19.7" hidden="false" customHeight="false" outlineLevel="0" collapsed="false">
      <c r="A1" s="13" t="s">
        <v>205</v>
      </c>
      <c r="B1" s="13"/>
      <c r="C1" s="13"/>
    </row>
    <row r="2" customFormat="false" ht="19.5" hidden="false" customHeight="true" outlineLevel="0" collapsed="false">
      <c r="A2" s="14" t="s">
        <v>35</v>
      </c>
      <c r="B2" s="14" t="s">
        <v>36</v>
      </c>
      <c r="C2" s="14" t="s">
        <v>42</v>
      </c>
    </row>
    <row r="3" customFormat="false" ht="22.35" hidden="false" customHeight="false" outlineLevel="0" collapsed="false">
      <c r="A3" s="15" t="s">
        <v>206</v>
      </c>
      <c r="B3" s="16" t="s">
        <v>49</v>
      </c>
      <c r="C3" s="23" t="s">
        <v>207</v>
      </c>
    </row>
    <row r="4" customFormat="false" ht="22.35" hidden="false" customHeight="false" outlineLevel="0" collapsed="false">
      <c r="A4" s="15" t="s">
        <v>208</v>
      </c>
      <c r="B4" s="16" t="s">
        <v>50</v>
      </c>
      <c r="C4" s="23" t="s">
        <v>207</v>
      </c>
    </row>
    <row r="5" customFormat="false" ht="22.35" hidden="false" customHeight="false" outlineLevel="0" collapsed="false">
      <c r="A5" s="15" t="s">
        <v>209</v>
      </c>
      <c r="B5" s="16" t="s">
        <v>71</v>
      </c>
      <c r="C5" s="23" t="s">
        <v>207</v>
      </c>
    </row>
    <row r="6" customFormat="false" ht="22.35" hidden="false" customHeight="false" outlineLevel="0" collapsed="false">
      <c r="A6" s="15" t="s">
        <v>210</v>
      </c>
      <c r="B6" s="16" t="s">
        <v>76</v>
      </c>
      <c r="C6" s="23" t="s">
        <v>207</v>
      </c>
    </row>
    <row r="7" customFormat="false" ht="23.85" hidden="false" customHeight="false" outlineLevel="0" collapsed="false">
      <c r="A7" s="15" t="s">
        <v>211</v>
      </c>
      <c r="B7" s="16" t="s">
        <v>45</v>
      </c>
      <c r="C7" s="23" t="s">
        <v>207</v>
      </c>
    </row>
    <row r="8" customFormat="false" ht="23.85" hidden="false" customHeight="false" outlineLevel="0" collapsed="false">
      <c r="A8" s="15" t="s">
        <v>212</v>
      </c>
      <c r="B8" s="16" t="s">
        <v>45</v>
      </c>
      <c r="C8" s="23" t="s">
        <v>207</v>
      </c>
    </row>
    <row r="9" customFormat="false" ht="22.35" hidden="false" customHeight="false" outlineLevel="0" collapsed="false">
      <c r="A9" s="15" t="s">
        <v>213</v>
      </c>
      <c r="B9" s="16" t="s">
        <v>93</v>
      </c>
      <c r="C9" s="23" t="s">
        <v>207</v>
      </c>
    </row>
    <row r="10" customFormat="false" ht="22.35" hidden="false" customHeight="false" outlineLevel="0" collapsed="false">
      <c r="A10" s="15" t="s">
        <v>214</v>
      </c>
      <c r="B10" s="16" t="s">
        <v>215</v>
      </c>
      <c r="C10" s="23" t="s">
        <v>207</v>
      </c>
    </row>
    <row r="11" customFormat="false" ht="22.35" hidden="false" customHeight="false" outlineLevel="0" collapsed="false">
      <c r="A11" s="15" t="s">
        <v>216</v>
      </c>
      <c r="B11" s="16" t="s">
        <v>102</v>
      </c>
      <c r="C11" s="23" t="s">
        <v>207</v>
      </c>
    </row>
  </sheetData>
  <autoFilter ref="A2:C11"/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2026-09-13T15:52:21Z</dcterms:created>
  <dc:creator>openpyxl</dc:creator>
  <dc:description/>
  <dc:language>en-US</dc:language>
  <cp:lastModifiedBy/>
  <dcterms:modified xsi:type="dcterms:W3CDTF">2026-09-13T15:52:21Z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